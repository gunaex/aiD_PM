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2.xml" ContentType="application/vnd.openxmlformats-officedocument.drawing+xml"/>
  <Override PartName="/xl/charts/chart20.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5.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6.xml" ContentType="application/vnd.openxmlformats-officedocument.drawing+xml"/>
  <Override PartName="/xl/charts/chart4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mc:AlternateContent xmlns:mc="http://schemas.openxmlformats.org/markup-compatibility/2006">
    <mc:Choice Requires="x15">
      <x15ac:absPath xmlns:x15ac="http://schemas.microsoft.com/office/spreadsheetml/2010/11/ac" url="C:\Users\kanph\Downloads\"/>
    </mc:Choice>
  </mc:AlternateContent>
  <xr:revisionPtr revIDLastSave="0" documentId="13_ncr:1_{F03CDF42-381D-4E4E-874B-7D394CA1A0B5}" xr6:coauthVersionLast="47" xr6:coauthVersionMax="47" xr10:uidLastSave="{00000000-0000-0000-0000-000000000000}"/>
  <bookViews>
    <workbookView xWindow="-98" yWindow="-98" windowWidth="21795" windowHeight="12975" tabRatio="716" xr2:uid="{00000000-000D-0000-FFFF-FFFF00000000}"/>
  </bookViews>
  <sheets>
    <sheet name="Weekly Report" sheetId="12" r:id="rId1"/>
    <sheet name="PB Curve" sheetId="21" r:id="rId2"/>
    <sheet name="Usage Guideline" sheetId="25" r:id="rId3"/>
    <sheet name="PB Curve Guideline" sheetId="23" r:id="rId4"/>
    <sheet name="Example_Weekly Report" sheetId="14" r:id="rId5"/>
    <sheet name="Example_PB Curve" sheetId="20" r:id="rId6"/>
  </sheets>
  <definedNames>
    <definedName name="_1_???" hidden="1">#REF!</definedName>
    <definedName name="_Fill" localSheetId="2" hidden="1">#REF!</definedName>
    <definedName name="_Fill" hidden="1">#REF!</definedName>
    <definedName name="_Order1" hidden="1">255</definedName>
    <definedName name="_Order2" hidden="1">255</definedName>
    <definedName name="_Parse_In" localSheetId="2" hidden="1">#REF!</definedName>
    <definedName name="_Parse_In" hidden="1">#REF!</definedName>
    <definedName name="_Parse_Out" localSheetId="2" hidden="1">#REF!</definedName>
    <definedName name="_Parse_Out" hidden="1">#REF!</definedName>
    <definedName name="_Regression_X" hidden="1">#REF!</definedName>
    <definedName name="add" localSheetId="3" hidden="1">{"'表紙'!$A$1:$W$39"}</definedName>
    <definedName name="add" localSheetId="2" hidden="1">{"'表紙'!$A$1:$W$39"}</definedName>
    <definedName name="add" hidden="1">{"'表紙'!$A$1:$W$39"}</definedName>
    <definedName name="dfa" localSheetId="3" hidden="1">{"'表紙'!$A$1:$W$39"}</definedName>
    <definedName name="dfa" localSheetId="2" hidden="1">{"'表紙'!$A$1:$W$39"}</definedName>
    <definedName name="dfa" hidden="1">{"'表紙'!$A$1:$W$39"}</definedName>
    <definedName name="HTML_CodePage" hidden="1">932</definedName>
    <definedName name="HTML_Control" localSheetId="3" hidden="1">{"'表紙'!$A$1:$W$39"}</definedName>
    <definedName name="HTML_Control" localSheetId="2" hidden="1">{"'表紙'!$A$1:$W$39"}</definedName>
    <definedName name="HTML_Control" hidden="1">{"'表紙'!$A$1:$W$39"}</definedName>
    <definedName name="HTML_Control_bkup" localSheetId="3" hidden="1">{"'表紙'!$A$1:$W$39"}</definedName>
    <definedName name="HTML_Control_bkup" localSheetId="2" hidden="1">{"'表紙'!$A$1:$W$39"}</definedName>
    <definedName name="HTML_Control_bkup"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5">'Example_PB Curve'!$A$1:$AG$59</definedName>
    <definedName name="_xlnm.Print_Area" localSheetId="4">'Example_Weekly Report'!$A$1:$AG$75</definedName>
    <definedName name="_xlnm.Print_Area" localSheetId="1">'PB Curve'!$A$1:$AG$59</definedName>
    <definedName name="_xlnm.Print_Area" localSheetId="3">'PB Curve Guideline'!$A$1:$CA$107</definedName>
    <definedName name="_xlnm.Print_Area" localSheetId="2">'Usage Guideline'!$A$1:$CX$409</definedName>
    <definedName name="_xlnm.Print_Area" localSheetId="0">'Weekly Report'!$A$1:$AG$78</definedName>
    <definedName name="_xlnm.Print_Titles" localSheetId="3">'PB Curve Guideline'!$1:$4</definedName>
    <definedName name="_xlnm.Print_Titles" localSheetId="2">'Usage Guideline'!$1:$5</definedName>
    <definedName name="Rujipun" hidden="1">#REF!</definedName>
    <definedName name="関連表"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4" i="20" l="1"/>
  <c r="C44" i="20"/>
  <c r="C45" i="20" s="1"/>
  <c r="K69" i="14"/>
  <c r="K70" i="14"/>
  <c r="K71" i="14"/>
  <c r="K67" i="14"/>
  <c r="K68" i="14"/>
  <c r="K66" i="14"/>
  <c r="K64" i="14"/>
  <c r="G64" i="14" s="1"/>
  <c r="K65" i="14"/>
  <c r="K63" i="14"/>
  <c r="AC58" i="14"/>
  <c r="W58" i="14"/>
  <c r="AC58" i="12"/>
  <c r="W58" i="12"/>
  <c r="AA62" i="14"/>
  <c r="AA61" i="14"/>
  <c r="AA62" i="12"/>
  <c r="AA61" i="12"/>
  <c r="C41" i="14"/>
  <c r="C40" i="14"/>
  <c r="D40" i="14" s="1"/>
  <c r="C41" i="12"/>
  <c r="C44" i="21" s="1"/>
  <c r="C45" i="21" s="1"/>
  <c r="C40" i="12"/>
  <c r="D40" i="12" s="1"/>
  <c r="E40" i="12" s="1"/>
  <c r="E42" i="12" s="1"/>
  <c r="E42" i="21" s="1"/>
  <c r="E7" i="12"/>
  <c r="G7" i="12" s="1"/>
  <c r="I7" i="12" s="1"/>
  <c r="K7" i="12" s="1"/>
  <c r="M7" i="12" s="1"/>
  <c r="O7" i="12" s="1"/>
  <c r="Q7" i="12" s="1"/>
  <c r="S7" i="12" s="1"/>
  <c r="U7" i="12" s="1"/>
  <c r="W7" i="12" s="1"/>
  <c r="Y7" i="12" s="1"/>
  <c r="AA7" i="12" s="1"/>
  <c r="E7" i="14"/>
  <c r="G7" i="14" s="1"/>
  <c r="I7" i="14" s="1"/>
  <c r="K7" i="14" s="1"/>
  <c r="M7" i="14" s="1"/>
  <c r="O7" i="14" s="1"/>
  <c r="Q7" i="14" s="1"/>
  <c r="S7" i="14" s="1"/>
  <c r="U7" i="14" s="1"/>
  <c r="W7" i="14" s="1"/>
  <c r="Y7" i="14" s="1"/>
  <c r="AA7" i="14" s="1"/>
  <c r="CG15" i="23"/>
  <c r="CH15" i="23"/>
  <c r="CI15" i="23" s="1"/>
  <c r="CJ15" i="23" s="1"/>
  <c r="CK15" i="23" s="1"/>
  <c r="CL15" i="23" s="1"/>
  <c r="CM15" i="23"/>
  <c r="CN15" i="23" s="1"/>
  <c r="CO15" i="23" s="1"/>
  <c r="CP15" i="23" s="1"/>
  <c r="CQ15" i="23" s="1"/>
  <c r="CR15" i="23" s="1"/>
  <c r="CS15" i="23" s="1"/>
  <c r="CT15" i="23"/>
  <c r="CG54" i="23"/>
  <c r="CH54" i="23" s="1"/>
  <c r="CI54" i="23" s="1"/>
  <c r="CJ54" i="23" s="1"/>
  <c r="CK54" i="23" s="1"/>
  <c r="CL54" i="23" s="1"/>
  <c r="CM54" i="23"/>
  <c r="CN54" i="23" s="1"/>
  <c r="CO54" i="23" s="1"/>
  <c r="CP54" i="23" s="1"/>
  <c r="CQ54" i="23" s="1"/>
  <c r="CR54" i="23" s="1"/>
  <c r="CS54" i="23" s="1"/>
  <c r="CT54" i="23" s="1"/>
  <c r="CF57" i="23"/>
  <c r="CG57" i="23"/>
  <c r="CH57" i="23"/>
  <c r="CH58" i="23" s="1"/>
  <c r="CI57" i="23"/>
  <c r="CJ57" i="23"/>
  <c r="CK57" i="23"/>
  <c r="CK58" i="23" s="1"/>
  <c r="CL57" i="23"/>
  <c r="CL58" i="23" s="1"/>
  <c r="CM57" i="23"/>
  <c r="CM58" i="23" s="1"/>
  <c r="CN57" i="23"/>
  <c r="CN58" i="23" s="1"/>
  <c r="CO57" i="23"/>
  <c r="CO58" i="23" s="1"/>
  <c r="CP57" i="23"/>
  <c r="CQ57" i="23"/>
  <c r="CR57" i="23"/>
  <c r="CS57" i="23"/>
  <c r="CT57" i="23"/>
  <c r="CG58" i="23"/>
  <c r="CI58" i="23"/>
  <c r="CJ58" i="23"/>
  <c r="CP58" i="23"/>
  <c r="CQ58" i="23"/>
  <c r="CR58" i="23"/>
  <c r="CS58" i="23"/>
  <c r="CT58" i="23"/>
  <c r="C47" i="12"/>
  <c r="D47" i="12" s="1"/>
  <c r="D47" i="21" s="1"/>
  <c r="C46" i="12"/>
  <c r="D15" i="12"/>
  <c r="C41" i="21"/>
  <c r="D15" i="14"/>
  <c r="E15" i="14" s="1"/>
  <c r="E41" i="20" s="1"/>
  <c r="C41" i="20"/>
  <c r="C47" i="14"/>
  <c r="C48" i="14" s="1"/>
  <c r="D47" i="14"/>
  <c r="E47" i="14" s="1"/>
  <c r="E47" i="20" s="1"/>
  <c r="F47" i="14"/>
  <c r="F47" i="20" s="1"/>
  <c r="G47" i="14"/>
  <c r="C47" i="20"/>
  <c r="C46" i="14"/>
  <c r="D46" i="14" s="1"/>
  <c r="C46" i="20"/>
  <c r="D45" i="20"/>
  <c r="D41" i="14"/>
  <c r="D43" i="14"/>
  <c r="D43" i="20" s="1"/>
  <c r="E41" i="14"/>
  <c r="E44" i="20" s="1"/>
  <c r="E45" i="20" s="1"/>
  <c r="F41" i="14"/>
  <c r="F44" i="20" s="1"/>
  <c r="F45" i="20" s="1"/>
  <c r="C43" i="14"/>
  <c r="C43" i="20" s="1"/>
  <c r="C42" i="14"/>
  <c r="C42" i="20" s="1"/>
  <c r="C30" i="12"/>
  <c r="D30" i="12" s="1"/>
  <c r="E30" i="12" s="1"/>
  <c r="F30" i="12" s="1"/>
  <c r="G30" i="12" s="1"/>
  <c r="H30" i="12" s="1"/>
  <c r="I30" i="12" s="1"/>
  <c r="J30" i="12" s="1"/>
  <c r="K30" i="12" s="1"/>
  <c r="L30" i="12" s="1"/>
  <c r="M30" i="12" s="1"/>
  <c r="N30" i="12" s="1"/>
  <c r="O30" i="12" s="1"/>
  <c r="P30" i="12" s="1"/>
  <c r="Q30" i="12" s="1"/>
  <c r="R30" i="12" s="1"/>
  <c r="S30" i="12" s="1"/>
  <c r="T30" i="12" s="1"/>
  <c r="U30" i="12" s="1"/>
  <c r="V30" i="12" s="1"/>
  <c r="W30" i="12" s="1"/>
  <c r="X30" i="12" s="1"/>
  <c r="Y30" i="12" s="1"/>
  <c r="Z30" i="12" s="1"/>
  <c r="AA30" i="12" s="1"/>
  <c r="AB30" i="12" s="1"/>
  <c r="AC30" i="12" s="1"/>
  <c r="AD30" i="12" s="1"/>
  <c r="AE30" i="12" s="1"/>
  <c r="AF30" i="12" s="1"/>
  <c r="C30" i="14"/>
  <c r="D30" i="14" s="1"/>
  <c r="E30" i="14" s="1"/>
  <c r="F30" i="14" s="1"/>
  <c r="G30" i="14" s="1"/>
  <c r="H30" i="14" s="1"/>
  <c r="I30" i="14" s="1"/>
  <c r="J30" i="14" s="1"/>
  <c r="K30" i="14" s="1"/>
  <c r="L30" i="14" s="1"/>
  <c r="M30" i="14" s="1"/>
  <c r="N30" i="14" s="1"/>
  <c r="O30" i="14" s="1"/>
  <c r="P30" i="14" s="1"/>
  <c r="Q30" i="14" s="1"/>
  <c r="R30" i="14" s="1"/>
  <c r="S30" i="14" s="1"/>
  <c r="T30" i="14" s="1"/>
  <c r="U30" i="14" s="1"/>
  <c r="V30" i="14" s="1"/>
  <c r="W30" i="14" s="1"/>
  <c r="X30" i="14" s="1"/>
  <c r="Y30" i="14" s="1"/>
  <c r="Z30" i="14" s="1"/>
  <c r="AA30" i="14" s="1"/>
  <c r="AB30" i="14" s="1"/>
  <c r="AC30" i="14" s="1"/>
  <c r="AD30" i="14" s="1"/>
  <c r="AE30" i="14" s="1"/>
  <c r="AF30" i="14" s="1"/>
  <c r="C25" i="14"/>
  <c r="D25" i="14"/>
  <c r="E25" i="14"/>
  <c r="F25" i="14"/>
  <c r="G25" i="14"/>
  <c r="H25" i="14"/>
  <c r="I25" i="14"/>
  <c r="J25" i="14"/>
  <c r="K25" i="14"/>
  <c r="L25" i="14"/>
  <c r="M25" i="14"/>
  <c r="N25" i="14"/>
  <c r="O25" i="14"/>
  <c r="P25" i="14"/>
  <c r="Q25" i="14"/>
  <c r="R25" i="14"/>
  <c r="S25" i="14"/>
  <c r="T25" i="14"/>
  <c r="U25" i="14"/>
  <c r="V25" i="14"/>
  <c r="W25" i="14"/>
  <c r="X25" i="14"/>
  <c r="Y25" i="14"/>
  <c r="Z25" i="14"/>
  <c r="AA25" i="14"/>
  <c r="AB25" i="14"/>
  <c r="AC25" i="14"/>
  <c r="AD25" i="14"/>
  <c r="AE25" i="14"/>
  <c r="AF25" i="14"/>
  <c r="C26" i="14"/>
  <c r="D26" i="14" s="1"/>
  <c r="C27" i="14"/>
  <c r="D27" i="14"/>
  <c r="E27" i="14"/>
  <c r="F27" i="14" s="1"/>
  <c r="C28" i="14"/>
  <c r="D48" i="14"/>
  <c r="R53" i="14"/>
  <c r="C56" i="14"/>
  <c r="C57" i="14"/>
  <c r="C58" i="14"/>
  <c r="C59" i="14" s="1"/>
  <c r="E59" i="14"/>
  <c r="G59" i="14"/>
  <c r="I59" i="14"/>
  <c r="G63" i="14"/>
  <c r="G65" i="14"/>
  <c r="I66" i="14"/>
  <c r="I67" i="14"/>
  <c r="I68" i="14"/>
  <c r="K71" i="12"/>
  <c r="K70" i="12"/>
  <c r="K69" i="12"/>
  <c r="K68" i="12"/>
  <c r="I68" i="12"/>
  <c r="K67" i="12"/>
  <c r="I67" i="12" s="1"/>
  <c r="K66" i="12"/>
  <c r="I66" i="12" s="1"/>
  <c r="K65" i="12"/>
  <c r="G65" i="12" s="1"/>
  <c r="K64" i="12"/>
  <c r="G64" i="12" s="1"/>
  <c r="K63" i="12"/>
  <c r="G63" i="12" s="1"/>
  <c r="C57" i="12"/>
  <c r="C58" i="12"/>
  <c r="C56" i="12"/>
  <c r="I59" i="12"/>
  <c r="E59" i="12"/>
  <c r="R53" i="12"/>
  <c r="C26" i="12"/>
  <c r="D26" i="12" s="1"/>
  <c r="E26" i="12" s="1"/>
  <c r="F26" i="12" s="1"/>
  <c r="G26" i="12" s="1"/>
  <c r="H26" i="12" s="1"/>
  <c r="I26" i="12" s="1"/>
  <c r="J26" i="12" s="1"/>
  <c r="K26" i="12" s="1"/>
  <c r="L26" i="12" s="1"/>
  <c r="M26" i="12" s="1"/>
  <c r="N26" i="12" s="1"/>
  <c r="O26" i="12" s="1"/>
  <c r="P26" i="12" s="1"/>
  <c r="Q26" i="12" s="1"/>
  <c r="R26" i="12" s="1"/>
  <c r="S26" i="12" s="1"/>
  <c r="T26" i="12" s="1"/>
  <c r="U26" i="12" s="1"/>
  <c r="V26" i="12" s="1"/>
  <c r="W26" i="12" s="1"/>
  <c r="X26" i="12" s="1"/>
  <c r="Y26" i="12" s="1"/>
  <c r="Z26" i="12" s="1"/>
  <c r="AA26" i="12" s="1"/>
  <c r="AB26" i="12" s="1"/>
  <c r="AC26" i="12" s="1"/>
  <c r="AD26" i="12" s="1"/>
  <c r="AE26" i="12" s="1"/>
  <c r="AF26" i="12" s="1"/>
  <c r="C27" i="12"/>
  <c r="D27" i="12" s="1"/>
  <c r="E27" i="12" s="1"/>
  <c r="F27" i="12" s="1"/>
  <c r="G27" i="12" s="1"/>
  <c r="C25" i="12"/>
  <c r="AF25" i="12"/>
  <c r="AE25" i="12"/>
  <c r="AD25" i="12"/>
  <c r="AC25" i="12"/>
  <c r="AB25" i="12"/>
  <c r="AA25" i="12"/>
  <c r="Z25" i="12"/>
  <c r="Y25" i="12"/>
  <c r="X25" i="12"/>
  <c r="W25" i="12"/>
  <c r="V25" i="12"/>
  <c r="U25" i="12"/>
  <c r="T25" i="12"/>
  <c r="S25" i="12"/>
  <c r="R25" i="12"/>
  <c r="Q25" i="12"/>
  <c r="P25" i="12"/>
  <c r="O25" i="12"/>
  <c r="N25" i="12"/>
  <c r="M25" i="12"/>
  <c r="L25" i="12"/>
  <c r="K25" i="12"/>
  <c r="J25" i="12"/>
  <c r="I25" i="12"/>
  <c r="H25" i="12"/>
  <c r="G25" i="12"/>
  <c r="F25" i="12"/>
  <c r="E25" i="12"/>
  <c r="D25" i="12"/>
  <c r="G59" i="12"/>
  <c r="C42" i="12" l="1"/>
  <c r="C42" i="21" s="1"/>
  <c r="D42" i="12"/>
  <c r="D42" i="21" s="1"/>
  <c r="C48" i="12"/>
  <c r="C43" i="12"/>
  <c r="C43" i="21" s="1"/>
  <c r="D41" i="12"/>
  <c r="D44" i="21" s="1"/>
  <c r="D45" i="21" s="1"/>
  <c r="C28" i="12"/>
  <c r="F40" i="12"/>
  <c r="C47" i="21"/>
  <c r="D46" i="12"/>
  <c r="D48" i="12" s="1"/>
  <c r="E47" i="12"/>
  <c r="F47" i="12" s="1"/>
  <c r="C46" i="21"/>
  <c r="C59" i="12"/>
  <c r="D42" i="14"/>
  <c r="D42" i="20" s="1"/>
  <c r="E40" i="14"/>
  <c r="D28" i="14"/>
  <c r="E26" i="14"/>
  <c r="H27" i="12"/>
  <c r="G28" i="12"/>
  <c r="F43" i="14"/>
  <c r="F43" i="20" s="1"/>
  <c r="E28" i="12"/>
  <c r="E43" i="14"/>
  <c r="E43" i="20" s="1"/>
  <c r="D46" i="20"/>
  <c r="E46" i="14"/>
  <c r="F28" i="12"/>
  <c r="G27" i="14"/>
  <c r="E15" i="12"/>
  <c r="D41" i="21"/>
  <c r="D28" i="12"/>
  <c r="H47" i="14"/>
  <c r="G47" i="20"/>
  <c r="D47" i="20"/>
  <c r="E41" i="12"/>
  <c r="G41" i="14"/>
  <c r="D43" i="12"/>
  <c r="D43" i="21" s="1"/>
  <c r="F15" i="14"/>
  <c r="D41" i="20"/>
  <c r="E47" i="21" l="1"/>
  <c r="G40" i="12"/>
  <c r="F42" i="12"/>
  <c r="F42" i="21" s="1"/>
  <c r="D46" i="21"/>
  <c r="E46" i="12"/>
  <c r="E46" i="21" s="1"/>
  <c r="F41" i="12"/>
  <c r="E44" i="21"/>
  <c r="E45" i="21" s="1"/>
  <c r="E43" i="12"/>
  <c r="E43" i="21" s="1"/>
  <c r="H47" i="20"/>
  <c r="I47" i="14"/>
  <c r="F46" i="12"/>
  <c r="E48" i="12"/>
  <c r="E46" i="20"/>
  <c r="E48" i="14"/>
  <c r="F46" i="14"/>
  <c r="F40" i="14"/>
  <c r="E42" i="14"/>
  <c r="E42" i="20" s="1"/>
  <c r="I27" i="12"/>
  <c r="H28" i="12"/>
  <c r="F41" i="20"/>
  <c r="G15" i="14"/>
  <c r="F26" i="14"/>
  <c r="E28" i="14"/>
  <c r="G44" i="20"/>
  <c r="G45" i="20" s="1"/>
  <c r="H41" i="14"/>
  <c r="G43" i="14"/>
  <c r="G43" i="20" s="1"/>
  <c r="H27" i="14"/>
  <c r="F15" i="12"/>
  <c r="E41" i="21"/>
  <c r="F47" i="21"/>
  <c r="G47" i="12"/>
  <c r="G42" i="12" l="1"/>
  <c r="G42" i="21" s="1"/>
  <c r="H40" i="12"/>
  <c r="G47" i="21"/>
  <c r="H47" i="12"/>
  <c r="G26" i="14"/>
  <c r="F28" i="14"/>
  <c r="I47" i="20"/>
  <c r="J47" i="14"/>
  <c r="H44" i="20"/>
  <c r="H45" i="20" s="1"/>
  <c r="H43" i="14"/>
  <c r="H43" i="20" s="1"/>
  <c r="I41" i="14"/>
  <c r="F46" i="21"/>
  <c r="G46" i="12"/>
  <c r="F48" i="12"/>
  <c r="J27" i="12"/>
  <c r="I28" i="12"/>
  <c r="F41" i="21"/>
  <c r="G15" i="12"/>
  <c r="I27" i="14"/>
  <c r="F42" i="14"/>
  <c r="F42" i="20" s="1"/>
  <c r="G40" i="14"/>
  <c r="F48" i="14"/>
  <c r="G46" i="14"/>
  <c r="F46" i="20"/>
  <c r="G41" i="20"/>
  <c r="H15" i="14"/>
  <c r="F43" i="12"/>
  <c r="F43" i="21" s="1"/>
  <c r="G41" i="12"/>
  <c r="F44" i="21"/>
  <c r="F45" i="21" s="1"/>
  <c r="H42" i="12" l="1"/>
  <c r="H42" i="21" s="1"/>
  <c r="I40" i="12"/>
  <c r="G46" i="21"/>
  <c r="H46" i="12"/>
  <c r="G48" i="12"/>
  <c r="I44" i="20"/>
  <c r="I45" i="20" s="1"/>
  <c r="I43" i="14"/>
  <c r="I43" i="20" s="1"/>
  <c r="J41" i="14"/>
  <c r="J47" i="20"/>
  <c r="K47" i="14"/>
  <c r="G44" i="21"/>
  <c r="G45" i="21" s="1"/>
  <c r="G43" i="12"/>
  <c r="G43" i="21" s="1"/>
  <c r="H41" i="12"/>
  <c r="H26" i="14"/>
  <c r="G28" i="14"/>
  <c r="H46" i="14"/>
  <c r="G46" i="20"/>
  <c r="G48" i="14"/>
  <c r="H40" i="14"/>
  <c r="G42" i="14"/>
  <c r="G42" i="20" s="1"/>
  <c r="H15" i="12"/>
  <c r="G41" i="21"/>
  <c r="H47" i="21"/>
  <c r="I47" i="12"/>
  <c r="J27" i="14"/>
  <c r="I15" i="14"/>
  <c r="H41" i="20"/>
  <c r="J28" i="12"/>
  <c r="K27" i="12"/>
  <c r="I42" i="12" l="1"/>
  <c r="I42" i="21" s="1"/>
  <c r="J40" i="12"/>
  <c r="I26" i="14"/>
  <c r="H28" i="14"/>
  <c r="K47" i="20"/>
  <c r="L47" i="14"/>
  <c r="I47" i="21"/>
  <c r="J47" i="12"/>
  <c r="K27" i="14"/>
  <c r="H43" i="12"/>
  <c r="H43" i="21" s="1"/>
  <c r="H44" i="21"/>
  <c r="H45" i="21" s="1"/>
  <c r="I41" i="12"/>
  <c r="L27" i="12"/>
  <c r="K28" i="12"/>
  <c r="J15" i="14"/>
  <c r="I41" i="20"/>
  <c r="H48" i="14"/>
  <c r="H46" i="20"/>
  <c r="I46" i="14"/>
  <c r="H48" i="12"/>
  <c r="H46" i="21"/>
  <c r="I46" i="12"/>
  <c r="H41" i="21"/>
  <c r="I15" i="12"/>
  <c r="J44" i="20"/>
  <c r="J45" i="20" s="1"/>
  <c r="J43" i="14"/>
  <c r="J43" i="20" s="1"/>
  <c r="K41" i="14"/>
  <c r="H42" i="14"/>
  <c r="H42" i="20" s="1"/>
  <c r="I40" i="14"/>
  <c r="K40" i="12" l="1"/>
  <c r="J42" i="12"/>
  <c r="J42" i="21" s="1"/>
  <c r="L28" i="12"/>
  <c r="M27" i="12"/>
  <c r="L47" i="20"/>
  <c r="M47" i="14"/>
  <c r="I48" i="14"/>
  <c r="J46" i="14"/>
  <c r="I46" i="20"/>
  <c r="I41" i="21"/>
  <c r="J15" i="12"/>
  <c r="I46" i="21"/>
  <c r="J46" i="12"/>
  <c r="I48" i="12"/>
  <c r="L27" i="14"/>
  <c r="J47" i="21"/>
  <c r="K47" i="12"/>
  <c r="I42" i="14"/>
  <c r="I42" i="20" s="1"/>
  <c r="J40" i="14"/>
  <c r="K44" i="20"/>
  <c r="K45" i="20" s="1"/>
  <c r="K43" i="14"/>
  <c r="K43" i="20" s="1"/>
  <c r="L41" i="14"/>
  <c r="K15" i="14"/>
  <c r="J41" i="20"/>
  <c r="J41" i="12"/>
  <c r="I43" i="12"/>
  <c r="I43" i="21" s="1"/>
  <c r="I44" i="21"/>
  <c r="I45" i="21" s="1"/>
  <c r="J26" i="14"/>
  <c r="I28" i="14"/>
  <c r="K42" i="12" l="1"/>
  <c r="K42" i="21" s="1"/>
  <c r="L40" i="12"/>
  <c r="K41" i="20"/>
  <c r="L15" i="14"/>
  <c r="J46" i="20"/>
  <c r="J48" i="14"/>
  <c r="K46" i="14"/>
  <c r="L44" i="20"/>
  <c r="L45" i="20" s="1"/>
  <c r="M41" i="14"/>
  <c r="L43" i="14"/>
  <c r="L43" i="20" s="1"/>
  <c r="N47" i="14"/>
  <c r="M47" i="20"/>
  <c r="J43" i="12"/>
  <c r="J43" i="21" s="1"/>
  <c r="J44" i="21"/>
  <c r="J45" i="21" s="1"/>
  <c r="K41" i="12"/>
  <c r="M28" i="12"/>
  <c r="N27" i="12"/>
  <c r="K15" i="12"/>
  <c r="J41" i="21"/>
  <c r="J42" i="14"/>
  <c r="J42" i="20" s="1"/>
  <c r="K40" i="14"/>
  <c r="L47" i="12"/>
  <c r="K47" i="21"/>
  <c r="K26" i="14"/>
  <c r="J28" i="14"/>
  <c r="M27" i="14"/>
  <c r="J46" i="21"/>
  <c r="J48" i="12"/>
  <c r="K46" i="12"/>
  <c r="M40" i="12" l="1"/>
  <c r="L42" i="12"/>
  <c r="L42" i="21" s="1"/>
  <c r="L26" i="14"/>
  <c r="K28" i="14"/>
  <c r="L47" i="21"/>
  <c r="M47" i="12"/>
  <c r="K41" i="21"/>
  <c r="L15" i="12"/>
  <c r="N28" i="12"/>
  <c r="O27" i="12"/>
  <c r="M44" i="20"/>
  <c r="M45" i="20" s="1"/>
  <c r="M43" i="14"/>
  <c r="M43" i="20" s="1"/>
  <c r="N41" i="14"/>
  <c r="N47" i="20"/>
  <c r="O47" i="14"/>
  <c r="L40" i="14"/>
  <c r="K42" i="14"/>
  <c r="K42" i="20" s="1"/>
  <c r="K46" i="20"/>
  <c r="L46" i="14"/>
  <c r="K48" i="14"/>
  <c r="L41" i="12"/>
  <c r="K44" i="21"/>
  <c r="K45" i="21" s="1"/>
  <c r="K43" i="12"/>
  <c r="K43" i="21" s="1"/>
  <c r="N27" i="14"/>
  <c r="L41" i="20"/>
  <c r="M15" i="14"/>
  <c r="L46" i="12"/>
  <c r="K46" i="21"/>
  <c r="K48" i="12"/>
  <c r="N40" i="12" l="1"/>
  <c r="M42" i="12"/>
  <c r="M42" i="21" s="1"/>
  <c r="N47" i="12"/>
  <c r="M47" i="21"/>
  <c r="M15" i="12"/>
  <c r="L41" i="21"/>
  <c r="L44" i="21"/>
  <c r="L45" i="21" s="1"/>
  <c r="L43" i="12"/>
  <c r="L43" i="21" s="1"/>
  <c r="M41" i="12"/>
  <c r="O28" i="12"/>
  <c r="P27" i="12"/>
  <c r="L46" i="20"/>
  <c r="M46" i="14"/>
  <c r="L48" i="14"/>
  <c r="L46" i="21"/>
  <c r="M46" i="12"/>
  <c r="L48" i="12"/>
  <c r="L42" i="14"/>
  <c r="L42" i="20" s="1"/>
  <c r="M40" i="14"/>
  <c r="N15" i="14"/>
  <c r="M41" i="20"/>
  <c r="O47" i="20"/>
  <c r="P47" i="14"/>
  <c r="O27" i="14"/>
  <c r="N44" i="20"/>
  <c r="N45" i="20" s="1"/>
  <c r="N43" i="14"/>
  <c r="N43" i="20" s="1"/>
  <c r="O41" i="14"/>
  <c r="M26" i="14"/>
  <c r="L28" i="14"/>
  <c r="N42" i="12" l="1"/>
  <c r="N42" i="21" s="1"/>
  <c r="O40" i="12"/>
  <c r="M44" i="21"/>
  <c r="M45" i="21" s="1"/>
  <c r="N41" i="12"/>
  <c r="M43" i="12"/>
  <c r="M43" i="21" s="1"/>
  <c r="P47" i="20"/>
  <c r="Q47" i="14"/>
  <c r="Q27" i="12"/>
  <c r="P28" i="12"/>
  <c r="M41" i="21"/>
  <c r="N15" i="12"/>
  <c r="N41" i="20"/>
  <c r="O15" i="14"/>
  <c r="N40" i="14"/>
  <c r="M42" i="14"/>
  <c r="M42" i="20" s="1"/>
  <c r="O44" i="20"/>
  <c r="O45" i="20" s="1"/>
  <c r="O43" i="14"/>
  <c r="O43" i="20" s="1"/>
  <c r="P41" i="14"/>
  <c r="M46" i="21"/>
  <c r="N46" i="12"/>
  <c r="M48" i="12"/>
  <c r="N26" i="14"/>
  <c r="M28" i="14"/>
  <c r="P27" i="14"/>
  <c r="M48" i="14"/>
  <c r="M46" i="20"/>
  <c r="N46" i="14"/>
  <c r="N47" i="21"/>
  <c r="O47" i="12"/>
  <c r="O42" i="12" l="1"/>
  <c r="O42" i="21" s="1"/>
  <c r="P40" i="12"/>
  <c r="N46" i="21"/>
  <c r="O46" i="12"/>
  <c r="N48" i="12"/>
  <c r="O15" i="12"/>
  <c r="N41" i="21"/>
  <c r="N46" i="20"/>
  <c r="N48" i="14"/>
  <c r="O46" i="14"/>
  <c r="O26" i="14"/>
  <c r="N28" i="14"/>
  <c r="O47" i="21"/>
  <c r="P47" i="12"/>
  <c r="Q47" i="20"/>
  <c r="R47" i="14"/>
  <c r="N44" i="21"/>
  <c r="N45" i="21" s="1"/>
  <c r="N43" i="12"/>
  <c r="N43" i="21" s="1"/>
  <c r="O41" i="12"/>
  <c r="Q41" i="14"/>
  <c r="P44" i="20"/>
  <c r="P45" i="20" s="1"/>
  <c r="P43" i="14"/>
  <c r="P43" i="20" s="1"/>
  <c r="R27" i="12"/>
  <c r="Q28" i="12"/>
  <c r="O40" i="14"/>
  <c r="N42" i="14"/>
  <c r="N42" i="20" s="1"/>
  <c r="Q27" i="14"/>
  <c r="O41" i="20"/>
  <c r="P15" i="14"/>
  <c r="Q40" i="12" l="1"/>
  <c r="P42" i="12"/>
  <c r="P42" i="21" s="1"/>
  <c r="R47" i="20"/>
  <c r="S47" i="14"/>
  <c r="S27" i="12"/>
  <c r="R28" i="12"/>
  <c r="P26" i="14"/>
  <c r="O28" i="14"/>
  <c r="O48" i="14"/>
  <c r="O46" i="20"/>
  <c r="P46" i="14"/>
  <c r="Q43" i="14"/>
  <c r="Q43" i="20" s="1"/>
  <c r="R41" i="14"/>
  <c r="Q44" i="20"/>
  <c r="Q45" i="20" s="1"/>
  <c r="P41" i="20"/>
  <c r="Q15" i="14"/>
  <c r="P15" i="12"/>
  <c r="O41" i="21"/>
  <c r="P47" i="21"/>
  <c r="Q47" i="12"/>
  <c r="O44" i="21"/>
  <c r="O45" i="21" s="1"/>
  <c r="O43" i="12"/>
  <c r="O43" i="21" s="1"/>
  <c r="P41" i="12"/>
  <c r="O46" i="21"/>
  <c r="P46" i="12"/>
  <c r="O48" i="12"/>
  <c r="R27" i="14"/>
  <c r="O42" i="14"/>
  <c r="O42" i="20" s="1"/>
  <c r="P40" i="14"/>
  <c r="Q42" i="12" l="1"/>
  <c r="Q42" i="21" s="1"/>
  <c r="R40" i="12"/>
  <c r="R44" i="20"/>
  <c r="R45" i="20" s="1"/>
  <c r="R43" i="14"/>
  <c r="R43" i="20" s="1"/>
  <c r="S41" i="14"/>
  <c r="T27" i="12"/>
  <c r="S28" i="12"/>
  <c r="Q26" i="14"/>
  <c r="P28" i="14"/>
  <c r="S47" i="20"/>
  <c r="T47" i="14"/>
  <c r="P43" i="12"/>
  <c r="P43" i="21" s="1"/>
  <c r="Q41" i="12"/>
  <c r="P44" i="21"/>
  <c r="P45" i="21" s="1"/>
  <c r="Q46" i="14"/>
  <c r="P46" i="20"/>
  <c r="P48" i="14"/>
  <c r="P42" i="14"/>
  <c r="P42" i="20" s="1"/>
  <c r="Q40" i="14"/>
  <c r="R47" i="12"/>
  <c r="Q47" i="21"/>
  <c r="S27" i="14"/>
  <c r="Q15" i="12"/>
  <c r="P41" i="21"/>
  <c r="Q41" i="20"/>
  <c r="R15" i="14"/>
  <c r="P48" i="12"/>
  <c r="P46" i="21"/>
  <c r="Q46" i="12"/>
  <c r="R42" i="12" l="1"/>
  <c r="R42" i="21" s="1"/>
  <c r="S40" i="12"/>
  <c r="T27" i="14"/>
  <c r="U47" i="14"/>
  <c r="T47" i="20"/>
  <c r="R47" i="21"/>
  <c r="S47" i="12"/>
  <c r="R26" i="14"/>
  <c r="Q28" i="14"/>
  <c r="Q41" i="21"/>
  <c r="R15" i="12"/>
  <c r="R40" i="14"/>
  <c r="Q42" i="14"/>
  <c r="Q42" i="20" s="1"/>
  <c r="R46" i="12"/>
  <c r="Q46" i="21"/>
  <c r="Q48" i="12"/>
  <c r="R41" i="20"/>
  <c r="S15" i="14"/>
  <c r="S44" i="20"/>
  <c r="S45" i="20" s="1"/>
  <c r="T41" i="14"/>
  <c r="S43" i="14"/>
  <c r="S43" i="20" s="1"/>
  <c r="T28" i="12"/>
  <c r="U27" i="12"/>
  <c r="Q46" i="20"/>
  <c r="R46" i="14"/>
  <c r="Q48" i="14"/>
  <c r="R41" i="12"/>
  <c r="Q43" i="12"/>
  <c r="Q43" i="21" s="1"/>
  <c r="Q44" i="21"/>
  <c r="Q45" i="21" s="1"/>
  <c r="S42" i="12" l="1"/>
  <c r="S42" i="21" s="1"/>
  <c r="T40" i="12"/>
  <c r="V27" i="12"/>
  <c r="U28" i="12"/>
  <c r="S26" i="14"/>
  <c r="R28" i="14"/>
  <c r="R41" i="21"/>
  <c r="S15" i="12"/>
  <c r="S47" i="21"/>
  <c r="T47" i="12"/>
  <c r="S41" i="20"/>
  <c r="T15" i="14"/>
  <c r="U47" i="20"/>
  <c r="V47" i="14"/>
  <c r="T44" i="20"/>
  <c r="T45" i="20" s="1"/>
  <c r="U41" i="14"/>
  <c r="T43" i="14"/>
  <c r="T43" i="20" s="1"/>
  <c r="R46" i="20"/>
  <c r="R48" i="14"/>
  <c r="S46" i="14"/>
  <c r="U27" i="14"/>
  <c r="R42" i="14"/>
  <c r="R42" i="20" s="1"/>
  <c r="S40" i="14"/>
  <c r="R43" i="12"/>
  <c r="R43" i="21" s="1"/>
  <c r="R44" i="21"/>
  <c r="R45" i="21" s="1"/>
  <c r="S41" i="12"/>
  <c r="R46" i="21"/>
  <c r="R48" i="12"/>
  <c r="S46" i="12"/>
  <c r="U40" i="12" l="1"/>
  <c r="T42" i="12"/>
  <c r="T42" i="21" s="1"/>
  <c r="V27" i="14"/>
  <c r="T41" i="20"/>
  <c r="U15" i="14"/>
  <c r="U47" i="12"/>
  <c r="T47" i="21"/>
  <c r="U44" i="20"/>
  <c r="U45" i="20" s="1"/>
  <c r="U43" i="14"/>
  <c r="U43" i="20" s="1"/>
  <c r="V41" i="14"/>
  <c r="V47" i="20"/>
  <c r="W47" i="14"/>
  <c r="S46" i="20"/>
  <c r="T46" i="14"/>
  <c r="S48" i="14"/>
  <c r="S44" i="21"/>
  <c r="S45" i="21" s="1"/>
  <c r="S43" i="12"/>
  <c r="S43" i="21" s="1"/>
  <c r="T41" i="12"/>
  <c r="T26" i="14"/>
  <c r="S28" i="14"/>
  <c r="S42" i="14"/>
  <c r="S42" i="20" s="1"/>
  <c r="T40" i="14"/>
  <c r="T46" i="12"/>
  <c r="S46" i="21"/>
  <c r="S48" i="12"/>
  <c r="T15" i="12"/>
  <c r="S41" i="21"/>
  <c r="V28" i="12"/>
  <c r="W27" i="12"/>
  <c r="U42" i="12" l="1"/>
  <c r="U42" i="21" s="1"/>
  <c r="V40" i="12"/>
  <c r="T46" i="21"/>
  <c r="U46" i="12"/>
  <c r="T48" i="12"/>
  <c r="X27" i="12"/>
  <c r="W28" i="12"/>
  <c r="W47" i="20"/>
  <c r="X47" i="14"/>
  <c r="U26" i="14"/>
  <c r="T28" i="14"/>
  <c r="U47" i="21"/>
  <c r="V47" i="12"/>
  <c r="U41" i="12"/>
  <c r="T44" i="21"/>
  <c r="T45" i="21" s="1"/>
  <c r="T43" i="12"/>
  <c r="T43" i="21" s="1"/>
  <c r="W27" i="14"/>
  <c r="U40" i="14"/>
  <c r="T42" i="14"/>
  <c r="T42" i="20" s="1"/>
  <c r="V43" i="14"/>
  <c r="V43" i="20" s="1"/>
  <c r="V44" i="20"/>
  <c r="V45" i="20" s="1"/>
  <c r="W41" i="14"/>
  <c r="V15" i="14"/>
  <c r="U41" i="20"/>
  <c r="T41" i="21"/>
  <c r="U15" i="12"/>
  <c r="U46" i="14"/>
  <c r="T48" i="14"/>
  <c r="T46" i="20"/>
  <c r="V42" i="12" l="1"/>
  <c r="V42" i="21" s="1"/>
  <c r="W40" i="12"/>
  <c r="V41" i="12"/>
  <c r="U43" i="12"/>
  <c r="U43" i="21" s="1"/>
  <c r="U44" i="21"/>
  <c r="U45" i="21" s="1"/>
  <c r="V15" i="12"/>
  <c r="U41" i="21"/>
  <c r="W44" i="20"/>
  <c r="W45" i="20" s="1"/>
  <c r="W43" i="14"/>
  <c r="W43" i="20" s="1"/>
  <c r="X41" i="14"/>
  <c r="V26" i="14"/>
  <c r="U28" i="14"/>
  <c r="Y47" i="14"/>
  <c r="X47" i="20"/>
  <c r="U48" i="14"/>
  <c r="U46" i="20"/>
  <c r="V46" i="14"/>
  <c r="U46" i="21"/>
  <c r="V46" i="12"/>
  <c r="U48" i="12"/>
  <c r="W15" i="14"/>
  <c r="V41" i="20"/>
  <c r="V47" i="21"/>
  <c r="W47" i="12"/>
  <c r="V40" i="14"/>
  <c r="U42" i="14"/>
  <c r="U42" i="20" s="1"/>
  <c r="X27" i="14"/>
  <c r="X28" i="12"/>
  <c r="Y27" i="12"/>
  <c r="X40" i="12" l="1"/>
  <c r="W42" i="12"/>
  <c r="W42" i="21" s="1"/>
  <c r="W26" i="14"/>
  <c r="V28" i="14"/>
  <c r="X44" i="20"/>
  <c r="X45" i="20" s="1"/>
  <c r="X43" i="14"/>
  <c r="X43" i="20" s="1"/>
  <c r="Y41" i="14"/>
  <c r="W15" i="12"/>
  <c r="V41" i="21"/>
  <c r="Z47" i="14"/>
  <c r="Y47" i="20"/>
  <c r="Z27" i="12"/>
  <c r="Y28" i="12"/>
  <c r="V48" i="14"/>
  <c r="W46" i="14"/>
  <c r="V46" i="20"/>
  <c r="W41" i="20"/>
  <c r="X15" i="14"/>
  <c r="W46" i="12"/>
  <c r="V48" i="12"/>
  <c r="V46" i="21"/>
  <c r="X47" i="12"/>
  <c r="W47" i="21"/>
  <c r="Y27" i="14"/>
  <c r="V42" i="14"/>
  <c r="V42" i="20" s="1"/>
  <c r="W40" i="14"/>
  <c r="V43" i="12"/>
  <c r="V43" i="21" s="1"/>
  <c r="V44" i="21"/>
  <c r="V45" i="21" s="1"/>
  <c r="W41" i="12"/>
  <c r="Y40" i="12" l="1"/>
  <c r="X42" i="12"/>
  <c r="X42" i="21" s="1"/>
  <c r="Y15" i="14"/>
  <c r="X41" i="20"/>
  <c r="Z28" i="12"/>
  <c r="AA27" i="12"/>
  <c r="AA47" i="14"/>
  <c r="Z47" i="20"/>
  <c r="W41" i="21"/>
  <c r="X15" i="12"/>
  <c r="W44" i="21"/>
  <c r="W45" i="21" s="1"/>
  <c r="X41" i="12"/>
  <c r="W43" i="12"/>
  <c r="W43" i="21" s="1"/>
  <c r="Z27" i="14"/>
  <c r="X47" i="21"/>
  <c r="Y47" i="12"/>
  <c r="Z41" i="14"/>
  <c r="Y44" i="20"/>
  <c r="Y45" i="20" s="1"/>
  <c r="Y43" i="14"/>
  <c r="Y43" i="20" s="1"/>
  <c r="X46" i="12"/>
  <c r="W46" i="21"/>
  <c r="W48" i="12"/>
  <c r="X40" i="14"/>
  <c r="W42" i="14"/>
  <c r="W42" i="20" s="1"/>
  <c r="W46" i="20"/>
  <c r="X46" i="14"/>
  <c r="W48" i="14"/>
  <c r="X26" i="14"/>
  <c r="W28" i="14"/>
  <c r="Y42" i="12" l="1"/>
  <c r="Y42" i="21" s="1"/>
  <c r="Z40" i="12"/>
  <c r="X42" i="14"/>
  <c r="X42" i="20" s="1"/>
  <c r="Y40" i="14"/>
  <c r="X41" i="21"/>
  <c r="Y15" i="12"/>
  <c r="Z43" i="14"/>
  <c r="Z43" i="20" s="1"/>
  <c r="Z44" i="20"/>
  <c r="Z45" i="20" s="1"/>
  <c r="AA41" i="14"/>
  <c r="Y26" i="14"/>
  <c r="X28" i="14"/>
  <c r="X46" i="20"/>
  <c r="Y46" i="14"/>
  <c r="X48" i="14"/>
  <c r="Y47" i="21"/>
  <c r="Z47" i="12"/>
  <c r="X44" i="21"/>
  <c r="X45" i="21" s="1"/>
  <c r="X43" i="12"/>
  <c r="X43" i="21" s="1"/>
  <c r="Y41" i="12"/>
  <c r="X46" i="21"/>
  <c r="Y46" i="12"/>
  <c r="X48" i="12"/>
  <c r="AA47" i="20"/>
  <c r="AB47" i="14"/>
  <c r="AB27" i="12"/>
  <c r="AA28" i="12"/>
  <c r="AA27" i="14"/>
  <c r="Y41" i="20"/>
  <c r="Z15" i="14"/>
  <c r="AA40" i="12" l="1"/>
  <c r="Z42" i="12"/>
  <c r="Z42" i="21" s="1"/>
  <c r="AA15" i="14"/>
  <c r="Z41" i="20"/>
  <c r="AA44" i="20"/>
  <c r="AA45" i="20" s="1"/>
  <c r="AA43" i="14"/>
  <c r="AA43" i="20" s="1"/>
  <c r="AB41" i="14"/>
  <c r="Y46" i="20"/>
  <c r="Z46" i="14"/>
  <c r="Y48" i="14"/>
  <c r="Y46" i="21"/>
  <c r="Z46" i="12"/>
  <c r="Y48" i="12"/>
  <c r="Z26" i="14"/>
  <c r="Y28" i="14"/>
  <c r="Y44" i="21"/>
  <c r="Y45" i="21" s="1"/>
  <c r="Z41" i="12"/>
  <c r="Y43" i="12"/>
  <c r="Y43" i="21" s="1"/>
  <c r="AB47" i="20"/>
  <c r="AC47" i="14"/>
  <c r="Z47" i="21"/>
  <c r="AA47" i="12"/>
  <c r="Y42" i="14"/>
  <c r="Y42" i="20" s="1"/>
  <c r="Z40" i="14"/>
  <c r="AB27" i="14"/>
  <c r="Y41" i="21"/>
  <c r="Z15" i="12"/>
  <c r="AB28" i="12"/>
  <c r="AC27" i="12"/>
  <c r="AA42" i="12" l="1"/>
  <c r="AA42" i="21" s="1"/>
  <c r="AB40" i="12"/>
  <c r="AA26" i="14"/>
  <c r="Z28" i="14"/>
  <c r="AC47" i="20"/>
  <c r="AD47" i="14"/>
  <c r="AD27" i="12"/>
  <c r="AC28" i="12"/>
  <c r="AA40" i="14"/>
  <c r="Z42" i="14"/>
  <c r="Z42" i="20" s="1"/>
  <c r="AB47" i="12"/>
  <c r="AA47" i="21"/>
  <c r="Z46" i="20"/>
  <c r="AA46" i="14"/>
  <c r="Z48" i="14"/>
  <c r="AA46" i="12"/>
  <c r="Z46" i="21"/>
  <c r="Z48" i="12"/>
  <c r="Z44" i="21"/>
  <c r="Z45" i="21" s="1"/>
  <c r="Z43" i="12"/>
  <c r="Z43" i="21" s="1"/>
  <c r="AA41" i="12"/>
  <c r="AB44" i="20"/>
  <c r="AB45" i="20" s="1"/>
  <c r="AB43" i="14"/>
  <c r="AB43" i="20" s="1"/>
  <c r="AC41" i="14"/>
  <c r="AA15" i="12"/>
  <c r="Z41" i="21"/>
  <c r="AC27" i="14"/>
  <c r="AA41" i="20"/>
  <c r="AB15" i="14"/>
  <c r="AB42" i="12" l="1"/>
  <c r="AB42" i="21" s="1"/>
  <c r="AC40" i="12"/>
  <c r="AA41" i="21"/>
  <c r="AB15" i="12"/>
  <c r="AA46" i="20"/>
  <c r="AB46" i="14"/>
  <c r="AA48" i="14"/>
  <c r="AB41" i="20"/>
  <c r="AC15" i="14"/>
  <c r="AC44" i="20"/>
  <c r="AC45" i="20" s="1"/>
  <c r="AD41" i="14"/>
  <c r="AC43" i="14"/>
  <c r="AC43" i="20" s="1"/>
  <c r="AB47" i="21"/>
  <c r="AC47" i="12"/>
  <c r="AB40" i="14"/>
  <c r="AA42" i="14"/>
  <c r="AA42" i="20" s="1"/>
  <c r="AD47" i="20"/>
  <c r="AE47" i="14"/>
  <c r="AD27" i="14"/>
  <c r="AA44" i="21"/>
  <c r="AA45" i="21" s="1"/>
  <c r="AB41" i="12"/>
  <c r="AA43" i="12"/>
  <c r="AA43" i="21" s="1"/>
  <c r="AE27" i="12"/>
  <c r="AD28" i="12"/>
  <c r="AA46" i="21"/>
  <c r="AB46" i="12"/>
  <c r="AA48" i="12"/>
  <c r="AB26" i="14"/>
  <c r="AA28" i="14"/>
  <c r="AC42" i="12" l="1"/>
  <c r="AC42" i="21" s="1"/>
  <c r="AD40" i="12"/>
  <c r="AC41" i="20"/>
  <c r="AD15" i="14"/>
  <c r="AD47" i="12"/>
  <c r="AC47" i="21"/>
  <c r="AE47" i="20"/>
  <c r="AF47" i="14"/>
  <c r="AF47" i="20" s="1"/>
  <c r="AF27" i="12"/>
  <c r="AF28" i="12" s="1"/>
  <c r="AE28" i="12"/>
  <c r="AB44" i="21"/>
  <c r="AB45" i="21" s="1"/>
  <c r="AB43" i="12"/>
  <c r="AB43" i="21" s="1"/>
  <c r="AC41" i="12"/>
  <c r="AD44" i="20"/>
  <c r="AD45" i="20" s="1"/>
  <c r="AD43" i="14"/>
  <c r="AD43" i="20" s="1"/>
  <c r="AE41" i="14"/>
  <c r="AE27" i="14"/>
  <c r="AC15" i="12"/>
  <c r="AB41" i="21"/>
  <c r="AC26" i="14"/>
  <c r="AB28" i="14"/>
  <c r="AC46" i="14"/>
  <c r="AB48" i="14"/>
  <c r="AB46" i="20"/>
  <c r="AB46" i="21"/>
  <c r="AC46" i="12"/>
  <c r="AB48" i="12"/>
  <c r="AB42" i="14"/>
  <c r="AB42" i="20" s="1"/>
  <c r="AC40" i="14"/>
  <c r="AD42" i="12" l="1"/>
  <c r="AD42" i="21" s="1"/>
  <c r="AE40" i="12"/>
  <c r="AD26" i="14"/>
  <c r="AC28" i="14"/>
  <c r="AC46" i="20"/>
  <c r="AD46" i="14"/>
  <c r="AC48" i="14"/>
  <c r="AD40" i="14"/>
  <c r="AC42" i="14"/>
  <c r="AC42" i="20" s="1"/>
  <c r="AD15" i="12"/>
  <c r="AC41" i="21"/>
  <c r="AF27" i="14"/>
  <c r="AD47" i="21"/>
  <c r="AE47" i="12"/>
  <c r="AE44" i="20"/>
  <c r="AE45" i="20" s="1"/>
  <c r="AE43" i="14"/>
  <c r="AE43" i="20" s="1"/>
  <c r="AF41" i="14"/>
  <c r="AE15" i="14"/>
  <c r="AD41" i="20"/>
  <c r="AD41" i="12"/>
  <c r="AC43" i="12"/>
  <c r="AC43" i="21" s="1"/>
  <c r="AC44" i="21"/>
  <c r="AC45" i="21" s="1"/>
  <c r="AD46" i="12"/>
  <c r="AC46" i="21"/>
  <c r="AC48" i="12"/>
  <c r="AF40" i="12" l="1"/>
  <c r="AF42" i="12" s="1"/>
  <c r="AF42" i="21" s="1"/>
  <c r="AE42" i="12"/>
  <c r="AE42" i="21" s="1"/>
  <c r="AF44" i="20"/>
  <c r="AF45" i="20" s="1"/>
  <c r="AF43" i="14"/>
  <c r="AF43" i="20" s="1"/>
  <c r="AD46" i="21"/>
  <c r="AE46" i="12"/>
  <c r="AD48" i="12"/>
  <c r="AD41" i="21"/>
  <c r="AE15" i="12"/>
  <c r="AD43" i="12"/>
  <c r="AD43" i="21" s="1"/>
  <c r="AE41" i="12"/>
  <c r="AD44" i="21"/>
  <c r="AD45" i="21" s="1"/>
  <c r="AE40" i="14"/>
  <c r="AD42" i="14"/>
  <c r="AD42" i="20" s="1"/>
  <c r="AE41" i="20"/>
  <c r="AF15" i="14"/>
  <c r="AF41" i="20" s="1"/>
  <c r="AD46" i="20"/>
  <c r="AE46" i="14"/>
  <c r="AD48" i="14"/>
  <c r="AF47" i="12"/>
  <c r="AF47" i="21" s="1"/>
  <c r="AE47" i="21"/>
  <c r="AE26" i="14"/>
  <c r="AD28" i="14"/>
  <c r="AE43" i="12" l="1"/>
  <c r="AE43" i="21" s="1"/>
  <c r="AE44" i="21"/>
  <c r="AE45" i="21" s="1"/>
  <c r="AF41" i="12"/>
  <c r="AE42" i="14"/>
  <c r="AE42" i="20" s="1"/>
  <c r="AF40" i="14"/>
  <c r="AF42" i="14" s="1"/>
  <c r="AF42" i="20" s="1"/>
  <c r="AE46" i="20"/>
  <c r="AE48" i="14"/>
  <c r="AF46" i="14"/>
  <c r="AF26" i="14"/>
  <c r="AF28" i="14" s="1"/>
  <c r="AE28" i="14"/>
  <c r="AE41" i="21"/>
  <c r="AF15" i="12"/>
  <c r="AF41" i="21" s="1"/>
  <c r="AE46" i="21"/>
  <c r="AF46" i="12"/>
  <c r="AE48" i="12"/>
  <c r="AF48" i="14" l="1"/>
  <c r="AF46" i="20"/>
  <c r="AF43" i="12"/>
  <c r="AF43" i="21" s="1"/>
  <c r="AF44" i="21"/>
  <c r="AF45" i="21" s="1"/>
  <c r="AF46" i="21"/>
  <c r="AF48" i="12"/>
</calcChain>
</file>

<file path=xl/sharedStrings.xml><?xml version="1.0" encoding="utf-8"?>
<sst xmlns="http://schemas.openxmlformats.org/spreadsheetml/2006/main" count="432" uniqueCount="269">
  <si>
    <t>As of Date:  2024/10/01</t>
  </si>
  <si>
    <t>TBOS System</t>
  </si>
  <si>
    <t>wk ended</t>
    <phoneticPr fontId="3" type="noConversion"/>
  </si>
  <si>
    <t>Plan (weekly)</t>
    <phoneticPr fontId="4"/>
  </si>
  <si>
    <t>Result (weekly)</t>
    <phoneticPr fontId="4"/>
  </si>
  <si>
    <t>Difference (weekly)</t>
    <phoneticPr fontId="4"/>
  </si>
  <si>
    <t>Plan (accum.)</t>
    <phoneticPr fontId="4"/>
  </si>
  <si>
    <t>Result (accum.)</t>
    <phoneticPr fontId="4"/>
  </si>
  <si>
    <t>Difference (accum.)</t>
    <phoneticPr fontId="4"/>
  </si>
  <si>
    <t>Test Plan (weekly)</t>
    <phoneticPr fontId="4"/>
  </si>
  <si>
    <t>Test Result (weekly)</t>
    <phoneticPr fontId="4"/>
  </si>
  <si>
    <t>Test Plan (accum.)</t>
    <phoneticPr fontId="4"/>
  </si>
  <si>
    <t>Test Result (accum.)</t>
    <phoneticPr fontId="4"/>
  </si>
  <si>
    <t>Test Plan (remained)</t>
    <phoneticPr fontId="4"/>
  </si>
  <si>
    <t>Test Result (remained)</t>
    <phoneticPr fontId="4"/>
  </si>
  <si>
    <t>Inc Detected</t>
    <phoneticPr fontId="4"/>
  </si>
  <si>
    <t>Inc Fixed</t>
    <phoneticPr fontId="4"/>
  </si>
  <si>
    <t>Inc Detected (accum.)</t>
    <phoneticPr fontId="4"/>
  </si>
  <si>
    <t>Inc Fixed (accum.)</t>
    <phoneticPr fontId="4"/>
  </si>
  <si>
    <t>Inc Remained</t>
    <phoneticPr fontId="4"/>
  </si>
  <si>
    <t>Total</t>
  </si>
  <si>
    <t>+/-</t>
  </si>
  <si>
    <t>Total
(Last wk)</t>
  </si>
  <si>
    <t>Total FP</t>
    <phoneticPr fontId="3" type="noConversion"/>
  </si>
  <si>
    <t>Total Test Cases</t>
    <phoneticPr fontId="3" type="noConversion"/>
  </si>
  <si>
    <t>Programming</t>
    <phoneticPr fontId="3" type="noConversion"/>
  </si>
  <si>
    <t>30x3</t>
  </si>
  <si>
    <t>90</t>
  </si>
  <si>
    <t>Open Issue (This wk)</t>
    <phoneticPr fontId="3" type="noConversion"/>
  </si>
  <si>
    <t>Remained (Last wk)</t>
    <phoneticPr fontId="3" type="noConversion"/>
  </si>
  <si>
    <t>New (This wk)</t>
    <phoneticPr fontId="3" type="noConversion"/>
  </si>
  <si>
    <t>Solved (This wk)</t>
    <phoneticPr fontId="3" type="noConversion"/>
  </si>
  <si>
    <t>Programming Status
(Function)</t>
    <phoneticPr fontId="3" type="noConversion"/>
  </si>
  <si>
    <t>Result</t>
  </si>
  <si>
    <t>Plan 
(Accm.)</t>
    <phoneticPr fontId="3" type="noConversion"/>
  </si>
  <si>
    <t>Progress
(Days)</t>
    <phoneticPr fontId="3" type="noConversion"/>
  </si>
  <si>
    <t>Evaluation</t>
    <phoneticPr fontId="3" type="noConversion"/>
  </si>
  <si>
    <t>Accum.
(This wk)</t>
    <phoneticPr fontId="3" type="noConversion"/>
  </si>
  <si>
    <t>Accum.
(Last wk)</t>
    <phoneticPr fontId="3" type="noConversion"/>
  </si>
  <si>
    <t>Achieve 
(This wk)</t>
    <phoneticPr fontId="3" type="noConversion"/>
  </si>
  <si>
    <t>Route A (approved)</t>
  </si>
  <si>
    <t>Route B (approved)</t>
  </si>
  <si>
    <t>Start</t>
    <phoneticPr fontId="3" type="noConversion"/>
  </si>
  <si>
    <t>B</t>
    <phoneticPr fontId="3" type="noConversion"/>
  </si>
  <si>
    <t>Accum.
(This wk)</t>
  </si>
  <si>
    <t>New
(This wk)</t>
  </si>
  <si>
    <t>Accum.
(Last wk)</t>
  </si>
  <si>
    <t>Finish</t>
    <phoneticPr fontId="3" type="noConversion"/>
  </si>
  <si>
    <t>Tested</t>
    <phoneticPr fontId="3" type="noConversion"/>
  </si>
  <si>
    <t>Change Request (PU)</t>
    <phoneticPr fontId="10"/>
  </si>
  <si>
    <t>Total</t>
    <phoneticPr fontId="3" type="noConversion"/>
  </si>
  <si>
    <t>Test Script Creation</t>
  </si>
  <si>
    <t>Total Target Test Items</t>
  </si>
  <si>
    <t>Created Test Items</t>
  </si>
  <si>
    <t>% of Created</t>
  </si>
  <si>
    <t>Quality</t>
    <phoneticPr fontId="10"/>
  </si>
  <si>
    <t>Accum Tested FP</t>
    <phoneticPr fontId="10"/>
  </si>
  <si>
    <t>Target
per  FP</t>
    <phoneticPr fontId="10"/>
  </si>
  <si>
    <t>Test Density 
(/FP)</t>
    <phoneticPr fontId="10"/>
  </si>
  <si>
    <t>Inc Detection
(/FP)</t>
    <phoneticPr fontId="10"/>
  </si>
  <si>
    <t>Achieve 
(This wk)</t>
  </si>
  <si>
    <t>IFT (Test case)</t>
  </si>
  <si>
    <t>BCT (Test scenario)</t>
  </si>
  <si>
    <t>Tested Cases (Screen)</t>
  </si>
  <si>
    <t>10-14</t>
  </si>
  <si>
    <t>Tested Cases (Batch)</t>
  </si>
  <si>
    <t>4-8</t>
  </si>
  <si>
    <t>Tested Cases (Report)</t>
  </si>
  <si>
    <t>Incident Detect (Screen)</t>
    <phoneticPr fontId="10"/>
  </si>
  <si>
    <t>3</t>
  </si>
  <si>
    <t>Incident Detect (Batch)</t>
    <phoneticPr fontId="10"/>
  </si>
  <si>
    <t>2</t>
  </si>
  <si>
    <t>Incident Detect (Report)</t>
    <phoneticPr fontId="10"/>
  </si>
  <si>
    <t>1.2</t>
  </si>
  <si>
    <t>Incident Fixed (Screen)</t>
    <phoneticPr fontId="10"/>
  </si>
  <si>
    <t>Incident Fixed (Batch)</t>
    <phoneticPr fontId="10"/>
  </si>
  <si>
    <t>Incident Fixed (Report)</t>
    <phoneticPr fontId="10"/>
  </si>
  <si>
    <t>Remained Test Cases (plan)</t>
    <phoneticPr fontId="10"/>
  </si>
  <si>
    <t>Remained Test Cases (result)</t>
    <phoneticPr fontId="10"/>
  </si>
  <si>
    <t>Accum Test Cases (result)</t>
  </si>
  <si>
    <t>Inc-Detected (standard)</t>
    <phoneticPr fontId="4"/>
  </si>
  <si>
    <t>Inc detected (accum)</t>
    <phoneticPr fontId="10"/>
  </si>
  <si>
    <t>Inc fixed (accum)</t>
    <phoneticPr fontId="10"/>
  </si>
  <si>
    <t>Phase</t>
  </si>
  <si>
    <t>Project Name</t>
  </si>
  <si>
    <t>TMAP Standard</t>
  </si>
  <si>
    <t>Page</t>
  </si>
  <si>
    <t>Block Name</t>
  </si>
  <si>
    <t>TMAP Management Standard</t>
  </si>
  <si>
    <t>Function Name</t>
  </si>
  <si>
    <t>04 Progress Management</t>
  </si>
  <si>
    <t>Created</t>
  </si>
  <si>
    <t>By</t>
  </si>
  <si>
    <t>Rujipun</t>
  </si>
  <si>
    <t>Document Name</t>
  </si>
  <si>
    <t>Weekly Report PU</t>
  </si>
  <si>
    <t>Title</t>
  </si>
  <si>
    <t>Usage Guideline</t>
  </si>
  <si>
    <t>Updated</t>
  </si>
  <si>
    <t>Anan</t>
  </si>
  <si>
    <t>Usage Guideline : Weekly Report PU</t>
  </si>
  <si>
    <t>1.</t>
  </si>
  <si>
    <t>Template Layout</t>
  </si>
  <si>
    <t>2.</t>
  </si>
  <si>
    <t>How to Fill up</t>
  </si>
  <si>
    <t>2.1</t>
  </si>
  <si>
    <t>Header</t>
  </si>
  <si>
    <t>Step 1 :</t>
  </si>
  <si>
    <t>Fill in the project and System Name,  e.g.  TMAP-EM : FISM,  TMAP Standards :  Management Standard</t>
  </si>
  <si>
    <t>Step 2 :</t>
  </si>
  <si>
    <t xml:space="preserve">Fill in the date of making the report. Date of making the report is usually the date of one day before the weekly progress meeting date. </t>
  </si>
  <si>
    <t>Step 3 :</t>
  </si>
  <si>
    <t>Get the signature of Vendor PIC and ISD PIC of the project. Vendor PIC and ISD PIC are required to check the correctness of  the progress report before signing.</t>
  </si>
  <si>
    <t>2.2</t>
  </si>
  <si>
    <t>Overview Schedule</t>
  </si>
  <si>
    <t>Fill in System Name</t>
  </si>
  <si>
    <t>Draw overview schedule of the project for all phases</t>
  </si>
  <si>
    <t>Update "Progress Line" to reflect and show the progress or delay of the project</t>
  </si>
  <si>
    <t>2.3</t>
  </si>
  <si>
    <t>Programming Statistics</t>
  </si>
  <si>
    <t>Fill in Report Creation Date. Usually, it is the date of one day before the weekly meeting date.</t>
  </si>
  <si>
    <t>Fill in weekly plan (all weeks of the plan). The value to fill is the summation of all tasks measured in the unit of Indicator of the phase, and it can be obtained from</t>
  </si>
  <si>
    <t>Total Plan row in Daily Progress Report, as an example displayed below:</t>
  </si>
  <si>
    <t>Daily Progress</t>
  </si>
  <si>
    <t>:</t>
  </si>
  <si>
    <t>Report</t>
  </si>
  <si>
    <t>Weekly</t>
  </si>
  <si>
    <t>For PU, there are three types of tasks, i.e. 1) Start Coding,  2) Finish Coding, and 3) Tested. Unit of Indicator of Coding is Function.</t>
  </si>
  <si>
    <r>
      <t xml:space="preserve">Note :  </t>
    </r>
    <r>
      <rPr>
        <sz val="9"/>
        <rFont val="Arial"/>
        <family val="2"/>
      </rPr>
      <t>TMAP Standard provides Daily Progress template for planning and tracking the progress. Please refer to the template.</t>
    </r>
  </si>
  <si>
    <t>Fill in weekly result (for the week to report). The value to fill is also the summation of all tasks measured in the unit of Indicator of the phase, and it can be</t>
  </si>
  <si>
    <t>obtained from Total Result row in Daily Progress Report, as an example displayed below:</t>
  </si>
  <si>
    <t>Note-1 :</t>
  </si>
  <si>
    <t xml:space="preserve">Workload Ratio of tasks is the ratio of workload of each task needed to be completed in order to finish the phase. In PU, there are three basic </t>
  </si>
  <si>
    <t>tasks, i.e. 1) Start Coding,  2) Finish Coding, and 3) Tested. Here, we assume all tasks have the same workload in Standard. That means</t>
  </si>
  <si>
    <t xml:space="preserve">Coding have the same workload as Testing. </t>
  </si>
  <si>
    <t>Note-2 :</t>
  </si>
  <si>
    <t>In case that the phase is very short, this can be daily instead of weekly</t>
  </si>
  <si>
    <t>Note-3 :</t>
  </si>
  <si>
    <t>Difference (weekly and accum), Plan (accum) and Result (accum) are automatically calculated</t>
  </si>
  <si>
    <t>Note-4 :</t>
  </si>
  <si>
    <t>Accum Plan is equal to Accum Result when the phase is finished.</t>
  </si>
  <si>
    <t>2.4</t>
  </si>
  <si>
    <t>Testing and Quality Statistics</t>
  </si>
  <si>
    <t>Fill in weekly plan (all weeks of the plan). The value to fill is the number of test cases planned to test on that week , and it can be obtained from</t>
  </si>
  <si>
    <t>Total Plan (Tested) row in Daily Progress Report, as an example displayed below:</t>
  </si>
  <si>
    <t>Fill in weekly result (for the week to report). The value to fill is the number of test cases tested on that week , and it can be obtained from</t>
  </si>
  <si>
    <t>Total Result (Tested) row in Daily Progress Report, as an example displayed below:</t>
  </si>
  <si>
    <t>Step 4 :</t>
  </si>
  <si>
    <t>Fill in incident detected in the week.</t>
  </si>
  <si>
    <t>Step 5 :</t>
  </si>
  <si>
    <t>Fill in incident fixed in the week.</t>
  </si>
  <si>
    <t>Test plan (accum), Test Result (accum), Test Plan (remained) and Test Result (remained) are automatically calculated.</t>
  </si>
  <si>
    <t>Incident Detected (accum), Incident Fixed (accum) and Incident Remained are automatically calculated.</t>
  </si>
  <si>
    <t>2.5</t>
  </si>
  <si>
    <t>Progress Status</t>
  </si>
  <si>
    <t xml:space="preserve">Fill in current total number of tasks. In PU the unit of indicator is Function. And there are three types of tasks, i.e. 1) Start Coding,  </t>
  </si>
  <si>
    <t>2) Finish Coding, and 3) Tested. For example, if there are 61 functions, Total = 61x3</t>
  </si>
  <si>
    <t>Fill in adjustment value of tasks. For example, if we add 1 function to the current 61 functions system, the +/- column will be filled in by +3 (1 x 3).</t>
  </si>
  <si>
    <t>If we delete 1 function, the +/- column will be filled in by -3 (-1x3).</t>
  </si>
  <si>
    <t>Fill in the total number of tasks of last week.</t>
  </si>
  <si>
    <t>Fill in total FP. Total FP can be obtained from function list.</t>
  </si>
  <si>
    <t>Fill in the number of total test cases.</t>
  </si>
  <si>
    <t>Step 6 :</t>
  </si>
  <si>
    <t>Fill in the accumulated actual results of tasks finished last week for each type of tasks.</t>
  </si>
  <si>
    <t>Step 7 :</t>
  </si>
  <si>
    <t>Fill in the results of tasks achieved this week for each type of tasks, and these values can be obtained from Result Weekly Summary row of Daily Progress Report.</t>
  </si>
  <si>
    <t>For example,</t>
  </si>
  <si>
    <t>Task: Tested</t>
  </si>
  <si>
    <t>Daily Progress Report</t>
  </si>
  <si>
    <t>Weekly Report</t>
  </si>
  <si>
    <t>Step 8 :</t>
  </si>
  <si>
    <t>Fill in the accumulated plan until this week. This value can be obtained from Plan Weekly Summary row of Daily Progress Report.</t>
  </si>
  <si>
    <t>Step 9 :</t>
  </si>
  <si>
    <t>Fill in the progress status of each type of tasks in days. Positive (+) means it is advanced. Negative (-) means it is delayed.</t>
  </si>
  <si>
    <t xml:space="preserve">- The progress will use the worst case. If it is delay, it uses the longest delay days from plan. For example, if there are two functions, </t>
  </si>
  <si>
    <t>the first one delays two days and the second one delays ten days. The progress status will be -10.</t>
  </si>
  <si>
    <t>As for advance, it uses the shortest advanced days.</t>
  </si>
  <si>
    <t>- To count number of days for delay of a function, we count from the day to do it in plan until the day we write a weekly report;</t>
  </si>
  <si>
    <t xml:space="preserve">not count holidays. For example, we plan to finish a function in Day-1, but we have not finished it. On the end of Day-3, </t>
  </si>
  <si>
    <t>we make a weekly report, so this function will delay 3 days -- Day-1, Day-2 and Day-3. As for advance, it is the opposite of dalay,</t>
  </si>
  <si>
    <t>counting from report creating day to the day of plan.</t>
  </si>
  <si>
    <t>Step 10 :</t>
  </si>
  <si>
    <t xml:space="preserve">Fill in Evaluation : A = Ahead of schedule, B = On schedule, C = Delay (less than 1 week), D = Delay (over 1 week). </t>
  </si>
  <si>
    <t>Step 11 :</t>
  </si>
  <si>
    <t xml:space="preserve">Fill in Accum tested FP for each type of functions. Accum tested FP can be tracked by Daily Plan (progress) </t>
  </si>
  <si>
    <t>Step 12 :</t>
  </si>
  <si>
    <t>Fill in Accum tested items, detected incidents, and fixed incidents of last week</t>
  </si>
  <si>
    <t>Step 13 :</t>
  </si>
  <si>
    <t>Fill in tested items, detected incidents, and fixed incidents of this week.</t>
  </si>
  <si>
    <t>Step 14 :</t>
  </si>
  <si>
    <t>Fill in the number of remained issues of last week.</t>
  </si>
  <si>
    <t>Step 15 :</t>
  </si>
  <si>
    <t>Fill in the number of new issues found in this week.</t>
  </si>
  <si>
    <t>Step 16 :</t>
  </si>
  <si>
    <t>Fill in the number of issues resolved this week.</t>
  </si>
  <si>
    <t xml:space="preserve">Step 17 : </t>
  </si>
  <si>
    <t>Fill in CR Route A's Accum CRs of this week. Here, we count only the approved CRs. For the details of CRs, they are tracked by CR list and form.</t>
  </si>
  <si>
    <t>Step 18 :</t>
  </si>
  <si>
    <t xml:space="preserve">Fill in CR Route A's Accum CRs of last week. </t>
  </si>
  <si>
    <t>Step 19 :</t>
  </si>
  <si>
    <t>Fill in CR Route B's Accum CRs of this week.</t>
  </si>
  <si>
    <t>Step 20 :</t>
  </si>
  <si>
    <t>Fill in CR Route B's Accum CRs of last week.</t>
  </si>
  <si>
    <t>Step 21 :</t>
  </si>
  <si>
    <t>Fill in total target test cases of IFT</t>
  </si>
  <si>
    <t>Step 22 :</t>
  </si>
  <si>
    <t>Fill in created test cases of IFT</t>
  </si>
  <si>
    <t>Step 23 :</t>
  </si>
  <si>
    <t>Fill in total target test scenarios of BCT</t>
  </si>
  <si>
    <t>Step 24 :</t>
  </si>
  <si>
    <t>Fill in created test scenarios of BCT</t>
  </si>
  <si>
    <t>Result of accumulated tasks achieved this week is automatically calculated.</t>
  </si>
  <si>
    <t>Test density ratio is automatically calculated.</t>
  </si>
  <si>
    <t>Incident detection ratio is automatically calculated.</t>
  </si>
  <si>
    <t>Automatically calculated for Accum Tested, incident detected&amp;fixed of this week</t>
  </si>
  <si>
    <t>Note-5 :</t>
  </si>
  <si>
    <t>Open issue (this week) is automatically calculated. It is remained issues (last week) + New issues (this week) - Solved issues (this week).</t>
  </si>
  <si>
    <t>Note-6 :</t>
  </si>
  <si>
    <t>Automatically calculated % of Created test items for IFT and BCT</t>
  </si>
  <si>
    <t>Note-7 :</t>
  </si>
  <si>
    <t>Automatically calculated = CR Route A's Accum CRs (This wk) - CR Route A's Accum CRs (Last wk)</t>
  </si>
  <si>
    <t>Note-8 :</t>
  </si>
  <si>
    <t>Automatically calculated = CR Route B's Accum CRs (This wk) - CR Route B's Accum CRs (Last wk)</t>
  </si>
  <si>
    <t>2.6</t>
  </si>
  <si>
    <t>Actions and Main Issues</t>
  </si>
  <si>
    <t>Fill in this week actions</t>
  </si>
  <si>
    <t>Fill in next week planned-to-do actions.</t>
  </si>
  <si>
    <t>Fill in issue and its countermeasure. Only important issues that need management concerns.</t>
  </si>
  <si>
    <r>
      <t xml:space="preserve">Note : </t>
    </r>
    <r>
      <rPr>
        <sz val="9"/>
        <rFont val="Arial"/>
        <family val="2"/>
      </rPr>
      <t xml:space="preserve"> Delay of project is also considered to be an issue and needed to provide the countermeasure of it.</t>
    </r>
  </si>
  <si>
    <t>PU Weekly Report Guideline</t>
    <phoneticPr fontId="10"/>
  </si>
  <si>
    <t>[How to understand PB Curve]</t>
    <phoneticPr fontId="10"/>
  </si>
  <si>
    <t xml:space="preserve">In the software development, we wish to have the incident detected curve as shown in Figure 1, while we plan to test the application in three steps </t>
    <phoneticPr fontId="10"/>
  </si>
  <si>
    <r>
      <t xml:space="preserve">at different test rates, </t>
    </r>
    <r>
      <rPr>
        <sz val="10"/>
        <rFont val="Arial"/>
        <family val="2"/>
      </rPr>
      <t>i</t>
    </r>
    <r>
      <rPr>
        <sz val="10"/>
        <rFont val="Arial"/>
        <family val="2"/>
      </rPr>
      <t xml:space="preserve">.e. 1) Learning Period: the rate of testing is slow in order to prepare, learn, and get used to the testing,  2) Adjusted Period: </t>
    </r>
    <phoneticPr fontId="10"/>
  </si>
  <si>
    <r>
      <t xml:space="preserve">the rate of testing is in full speed, 3) Fixing Period: </t>
    </r>
    <r>
      <rPr>
        <sz val="10"/>
        <rFont val="Arial"/>
        <family val="2"/>
      </rPr>
      <t xml:space="preserve">the rate of testing is slow down </t>
    </r>
    <r>
      <rPr>
        <sz val="10"/>
        <rFont val="Arial"/>
        <family val="2"/>
      </rPr>
      <t>in order to have time for fixing incidents.</t>
    </r>
    <phoneticPr fontId="10"/>
  </si>
  <si>
    <r>
      <t>I</t>
    </r>
    <r>
      <rPr>
        <sz val="10"/>
        <rFont val="Arial"/>
        <family val="2"/>
      </rPr>
      <t>ncident detected (accum)</t>
    </r>
    <phoneticPr fontId="10"/>
  </si>
  <si>
    <r>
      <t>H</t>
    </r>
    <r>
      <rPr>
        <sz val="10"/>
        <rFont val="Arial"/>
        <family val="2"/>
      </rPr>
      <t xml:space="preserve">owever, in the actual situation the curves are various and different from the ideal. We can draw these curves, see the tendency and compare with </t>
    </r>
    <phoneticPr fontId="10"/>
  </si>
  <si>
    <r>
      <t>the standard curve in order to</t>
    </r>
    <r>
      <rPr>
        <sz val="10"/>
        <rFont val="Arial"/>
        <family val="2"/>
      </rPr>
      <t xml:space="preserve"> predict and be alerted for the possible problems and control the software quality.</t>
    </r>
    <r>
      <rPr>
        <sz val="10"/>
        <rFont val="Arial"/>
        <family val="2"/>
      </rPr>
      <t xml:space="preserve"> We call these curves "PB Curve".</t>
    </r>
    <phoneticPr fontId="10"/>
  </si>
  <si>
    <r>
      <t>PB curve</t>
    </r>
    <r>
      <rPr>
        <sz val="10"/>
        <rFont val="Arial"/>
        <family val="2"/>
      </rPr>
      <t xml:space="preserve"> is used to see the tendency of developed software in terms of the number of test cases and the number of incidents. Normally, it consists </t>
    </r>
    <phoneticPr fontId="10"/>
  </si>
  <si>
    <r>
      <t xml:space="preserve">of four graphs, i.e. </t>
    </r>
    <r>
      <rPr>
        <sz val="10"/>
        <rFont val="Arial"/>
        <family val="2"/>
      </rPr>
      <t>1</t>
    </r>
    <r>
      <rPr>
        <sz val="10"/>
        <rFont val="Arial"/>
        <family val="2"/>
      </rPr>
      <t xml:space="preserve">) Remained Test Cases (plan),  2) Remained Test Cases (result), 3) Incident detected (standard), and 4) Incident detected </t>
    </r>
    <phoneticPr fontId="10"/>
  </si>
  <si>
    <t>(accum). But in TMAP weekly report, "Incident Fixed (accum)" is added to show the tendency of fixing the incidents.</t>
  </si>
  <si>
    <t>Accum Test Cases (plan)</t>
    <phoneticPr fontId="10"/>
  </si>
  <si>
    <t>[Standard Quality Indicator]</t>
    <phoneticPr fontId="10"/>
  </si>
  <si>
    <r>
      <t xml:space="preserve">The </t>
    </r>
    <r>
      <rPr>
        <sz val="10"/>
        <rFont val="Arial"/>
        <family val="2"/>
      </rPr>
      <t>PU</t>
    </r>
    <r>
      <rPr>
        <sz val="10"/>
        <rFont val="Arial"/>
        <family val="2"/>
      </rPr>
      <t xml:space="preserve"> standard quality indicators are shown as follows:</t>
    </r>
    <phoneticPr fontId="10"/>
  </si>
  <si>
    <t>FP Base for Batch, Screen, and Report -- per FP</t>
    <phoneticPr fontId="25"/>
  </si>
  <si>
    <t>Batch</t>
    <phoneticPr fontId="25"/>
  </si>
  <si>
    <t>Quality verification</t>
  </si>
  <si>
    <t>Test Case</t>
  </si>
  <si>
    <t>(1FP=200 Step)</t>
    <phoneticPr fontId="25"/>
  </si>
  <si>
    <r>
      <t>Case/</t>
    </r>
    <r>
      <rPr>
        <b/>
        <sz val="9"/>
        <rFont val="Arial Unicode MS"/>
        <family val="3"/>
        <charset val="128"/>
      </rPr>
      <t>FP</t>
    </r>
    <phoneticPr fontId="25"/>
  </si>
  <si>
    <t>6+/-2 (4-8)</t>
    <phoneticPr fontId="25"/>
  </si>
  <si>
    <t>Quality Indicator</t>
  </si>
  <si>
    <r>
      <t>Incident</t>
    </r>
    <r>
      <rPr>
        <b/>
        <sz val="9"/>
        <rFont val="Arial Unicode MS"/>
        <family val="3"/>
      </rPr>
      <t>/</t>
    </r>
    <r>
      <rPr>
        <b/>
        <sz val="9"/>
        <rFont val="Arial Unicode MS"/>
        <family val="3"/>
        <charset val="128"/>
      </rPr>
      <t>FP</t>
    </r>
    <phoneticPr fontId="25"/>
  </si>
  <si>
    <t>Screen</t>
    <phoneticPr fontId="25"/>
  </si>
  <si>
    <t>Cases</t>
  </si>
  <si>
    <t>12+/-2 (10-14)</t>
    <phoneticPr fontId="25"/>
  </si>
  <si>
    <r>
      <t>I</t>
    </r>
    <r>
      <rPr>
        <b/>
        <sz val="9"/>
        <rFont val="Arial Unicode MS"/>
        <family val="3"/>
        <charset val="128"/>
      </rPr>
      <t>ncidents</t>
    </r>
    <phoneticPr fontId="25"/>
  </si>
  <si>
    <t>Report</t>
    <phoneticPr fontId="25"/>
  </si>
  <si>
    <t xml:space="preserve"> Normal</t>
    <phoneticPr fontId="25"/>
  </si>
  <si>
    <t xml:space="preserve"> Complex</t>
    <phoneticPr fontId="25"/>
  </si>
  <si>
    <t>As of Date:  2005/10/3</t>
  </si>
  <si>
    <t>XXX System</t>
    <phoneticPr fontId="3" type="noConversion"/>
  </si>
  <si>
    <t>73x3</t>
  </si>
  <si>
    <t>-1</t>
  </si>
  <si>
    <t>C</t>
    <phoneticPr fontId="3" type="noConversion"/>
  </si>
  <si>
    <t>10-14</t>
    <phoneticPr fontId="3" type="noConversion"/>
  </si>
  <si>
    <t>4-8</t>
    <phoneticPr fontId="3" type="noConversion"/>
  </si>
  <si>
    <t>3</t>
    <phoneticPr fontId="10"/>
  </si>
  <si>
    <t>2</t>
    <phoneticPr fontId="10"/>
  </si>
  <si>
    <t>1.2</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</si>
</sst>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quot;$&quot;#,##0_);[Red]\(&quot;$&quot;#,##0\)"/>
    <numFmt numFmtId="165" formatCode="&quot;$&quot;#,##0.00_);[Red]\(&quot;$&quot;#,##0.00\)"/>
    <numFmt numFmtId="166" formatCode="0.0"/>
    <numFmt numFmtId="167" formatCode="m/d;@"/>
    <numFmt numFmtId="168" formatCode="0.0_ "/>
    <numFmt numFmtId="169" formatCode="0.0_);[Red]\(0.0\)"/>
    <numFmt numFmtId="170" formatCode="0.0000"/>
    <numFmt numFmtId="171" formatCode="_-* #,##0.0000_-;\-* #,##0.0000_-;_-* &quot;-&quot;??_-;_-@_-"/>
  </numFmts>
  <fonts count="30">
    <font>
      <sz val="10"/>
      <name val="Arial"/>
      <family val="2"/>
    </font>
    <font>
      <sz val="10"/>
      <name val="Arial"/>
      <family val="2"/>
    </font>
    <font>
      <b/>
      <sz val="12"/>
      <name val="Arial"/>
      <family val="2"/>
    </font>
    <font>
      <sz val="11"/>
      <name val="ＭＳ Ｐ明朝"/>
      <family val="1"/>
      <charset val="128"/>
    </font>
    <font>
      <sz val="9"/>
      <name val="ＭＳ Ｐゴシック"/>
      <family val="3"/>
      <charset val="128"/>
    </font>
    <font>
      <sz val="8"/>
      <name val="Microsoft Sans Serif"/>
      <family val="2"/>
    </font>
    <font>
      <sz val="8"/>
      <name val="Arial"/>
      <family val="2"/>
    </font>
    <font>
      <b/>
      <u/>
      <sz val="9"/>
      <name val="Arial"/>
      <family val="2"/>
    </font>
    <font>
      <sz val="9"/>
      <name val="Arial"/>
      <family val="2"/>
    </font>
    <font>
      <sz val="8"/>
      <name val="ＭＳ Ｐゴシック"/>
      <family val="3"/>
      <charset val="128"/>
    </font>
    <font>
      <sz val="6"/>
      <name val="ＭＳ Ｐゴシック"/>
      <family val="3"/>
      <charset val="128"/>
    </font>
    <font>
      <b/>
      <sz val="9"/>
      <name val="Arial"/>
      <family val="2"/>
    </font>
    <font>
      <b/>
      <sz val="8"/>
      <name val="Microsoft Sans Serif"/>
      <family val="2"/>
    </font>
    <font>
      <b/>
      <sz val="11"/>
      <color indexed="10"/>
      <name val="Microsoft Sans Serif"/>
      <family val="2"/>
    </font>
    <font>
      <sz val="11"/>
      <name val="ＭＳ Ｐゴシック"/>
      <family val="3"/>
      <charset val="128"/>
    </font>
    <font>
      <b/>
      <sz val="10"/>
      <name val="Arial"/>
      <family val="2"/>
    </font>
    <font>
      <sz val="10"/>
      <name val="?? ????"/>
      <family val="3"/>
      <charset val="128"/>
    </font>
    <font>
      <sz val="10"/>
      <name val="MS Sans Serif"/>
      <family val="2"/>
    </font>
    <font>
      <sz val="22"/>
      <name val="ＭＳ 明朝"/>
      <family val="1"/>
      <charset val="128"/>
    </font>
    <font>
      <u/>
      <sz val="11"/>
      <color indexed="12"/>
      <name val="ＭＳ Ｐゴシック"/>
      <family val="3"/>
      <charset val="128"/>
    </font>
    <font>
      <u/>
      <sz val="11"/>
      <color indexed="36"/>
      <name val="ＭＳ Ｐゴシック"/>
      <family val="3"/>
      <charset val="128"/>
    </font>
    <font>
      <sz val="14"/>
      <name val="ＭＳ 明朝"/>
      <family val="1"/>
      <charset val="128"/>
    </font>
    <font>
      <b/>
      <sz val="11"/>
      <name val="Arial"/>
      <family val="2"/>
    </font>
    <font>
      <b/>
      <sz val="9"/>
      <name val="Arial Unicode MS"/>
      <family val="3"/>
      <charset val="128"/>
    </font>
    <font>
      <sz val="14"/>
      <name val="Cordia New"/>
      <family val="2"/>
      <charset val="222"/>
    </font>
    <font>
      <sz val="7"/>
      <name val="ＭＳ Ｐゴシック"/>
      <family val="3"/>
      <charset val="128"/>
    </font>
    <font>
      <b/>
      <sz val="9"/>
      <name val="Arial Unicode MS"/>
      <family val="3"/>
    </font>
    <font>
      <sz val="9"/>
      <name val="Arial Unicode MS"/>
      <family val="3"/>
      <charset val="128"/>
    </font>
    <font>
      <b/>
      <sz val="8"/>
      <name val="Arial"/>
      <family val="2"/>
    </font>
    <font>
      <u/>
      <sz val="8"/>
      <name val="Arial"/>
      <family val="2"/>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2"/>
        <bgColor indexed="64"/>
      </patternFill>
    </fill>
    <fill>
      <patternFill patternType="solid">
        <fgColor indexed="51"/>
        <bgColor indexed="64"/>
      </patternFill>
    </fill>
    <fill>
      <patternFill patternType="solid">
        <fgColor indexed="43"/>
        <bgColor indexed="64"/>
      </patternFill>
    </fill>
    <fill>
      <patternFill patternType="solid">
        <fgColor indexed="47"/>
        <bgColor indexed="64"/>
      </patternFill>
    </fill>
  </fills>
  <borders count="10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hair">
        <color indexed="64"/>
      </left>
      <right style="hair">
        <color indexed="64"/>
      </right>
      <top style="medium">
        <color indexed="64"/>
      </top>
      <bottom/>
      <diagonal/>
    </border>
    <border>
      <left/>
      <right style="hair">
        <color indexed="64"/>
      </right>
      <top/>
      <bottom/>
      <diagonal/>
    </border>
    <border>
      <left style="hair">
        <color indexed="64"/>
      </left>
      <right style="hair">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hair">
        <color indexed="64"/>
      </left>
      <right style="hair">
        <color indexed="64"/>
      </right>
      <top/>
      <bottom style="medium">
        <color indexed="64"/>
      </bottom>
      <diagonal/>
    </border>
    <border>
      <left/>
      <right style="hair">
        <color indexed="64"/>
      </right>
      <top/>
      <bottom style="medium">
        <color indexed="64"/>
      </bottom>
      <diagonal/>
    </border>
    <border>
      <left style="hair">
        <color indexed="64"/>
      </left>
      <right style="medium">
        <color indexed="64"/>
      </right>
      <top/>
      <bottom/>
      <diagonal/>
    </border>
    <border>
      <left style="hair">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10"/>
      </left>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top style="thin">
        <color indexed="64"/>
      </top>
      <bottom/>
      <diagonal/>
    </border>
    <border>
      <left style="medium">
        <color indexed="10"/>
      </left>
      <right/>
      <top style="thin">
        <color indexed="64"/>
      </top>
      <bottom/>
      <diagonal/>
    </border>
    <border>
      <left/>
      <right style="double">
        <color indexed="64"/>
      </right>
      <top style="thin">
        <color indexed="64"/>
      </top>
      <bottom/>
      <diagonal/>
    </border>
    <border>
      <left style="thin">
        <color indexed="64"/>
      </left>
      <right style="double">
        <color indexed="64"/>
      </right>
      <top style="double">
        <color indexed="64"/>
      </top>
      <bottom/>
      <diagonal/>
    </border>
    <border>
      <left style="double">
        <color indexed="64"/>
      </left>
      <right/>
      <top style="double">
        <color indexed="64"/>
      </top>
      <bottom/>
      <diagonal/>
    </border>
    <border>
      <left/>
      <right/>
      <top style="double">
        <color indexed="64"/>
      </top>
      <bottom/>
      <diagonal/>
    </border>
    <border>
      <left style="double">
        <color indexed="64"/>
      </left>
      <right/>
      <top style="thin">
        <color indexed="64"/>
      </top>
      <bottom style="thin">
        <color indexed="64"/>
      </bottom>
      <diagonal/>
    </border>
    <border>
      <left style="thin">
        <color indexed="64"/>
      </left>
      <right style="double">
        <color indexed="64"/>
      </right>
      <top/>
      <bottom/>
      <diagonal/>
    </border>
    <border>
      <left style="double">
        <color indexed="64"/>
      </left>
      <right/>
      <top/>
      <bottom/>
      <diagonal/>
    </border>
    <border>
      <left style="thin">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diagonal/>
    </border>
    <border>
      <left/>
      <right style="thin">
        <color indexed="64"/>
      </right>
      <top style="thin">
        <color indexed="64"/>
      </top>
      <bottom/>
      <diagonal/>
    </border>
    <border>
      <left style="double">
        <color indexed="64"/>
      </left>
      <right/>
      <top/>
      <bottom style="thin">
        <color indexed="64"/>
      </bottom>
      <diagonal/>
    </border>
    <border>
      <left/>
      <right style="double">
        <color indexed="64"/>
      </right>
      <top/>
      <bottom style="thin">
        <color indexed="64"/>
      </bottom>
      <diagonal/>
    </border>
    <border>
      <left style="thin">
        <color indexed="64"/>
      </left>
      <right style="thin">
        <color indexed="64"/>
      </right>
      <top/>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double">
        <color indexed="10"/>
      </left>
      <right style="thin">
        <color indexed="64"/>
      </right>
      <top style="medium">
        <color indexed="10"/>
      </top>
      <bottom style="medium">
        <color indexed="10"/>
      </bottom>
      <diagonal/>
    </border>
    <border>
      <left style="thin">
        <color indexed="64"/>
      </left>
      <right style="medium">
        <color indexed="10"/>
      </right>
      <top style="medium">
        <color indexed="10"/>
      </top>
      <bottom style="medium">
        <color indexed="10"/>
      </bottom>
      <diagonal/>
    </border>
    <border>
      <left/>
      <right style="thin">
        <color indexed="64"/>
      </right>
      <top style="medium">
        <color indexed="10"/>
      </top>
      <bottom style="medium">
        <color indexed="10"/>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double">
        <color indexed="10"/>
      </left>
      <right style="thin">
        <color indexed="64"/>
      </right>
      <top style="double">
        <color indexed="10"/>
      </top>
      <bottom/>
      <diagonal/>
    </border>
    <border>
      <left style="thin">
        <color indexed="64"/>
      </left>
      <right style="medium">
        <color indexed="10"/>
      </right>
      <top style="double">
        <color indexed="10"/>
      </top>
      <bottom/>
      <diagonal/>
    </border>
    <border>
      <left style="medium">
        <color indexed="10"/>
      </left>
      <right style="thin">
        <color indexed="64"/>
      </right>
      <top style="double">
        <color indexed="10"/>
      </top>
      <bottom style="medium">
        <color indexed="10"/>
      </bottom>
      <diagonal/>
    </border>
    <border>
      <left style="thin">
        <color indexed="64"/>
      </left>
      <right style="double">
        <color indexed="10"/>
      </right>
      <top style="double">
        <color indexed="10"/>
      </top>
      <bottom style="medium">
        <color indexed="10"/>
      </bottom>
      <diagonal/>
    </border>
    <border>
      <left style="medium">
        <color indexed="10"/>
      </left>
      <right style="thin">
        <color indexed="64"/>
      </right>
      <top style="medium">
        <color indexed="10"/>
      </top>
      <bottom style="double">
        <color indexed="10"/>
      </bottom>
      <diagonal/>
    </border>
    <border>
      <left style="thin">
        <color indexed="64"/>
      </left>
      <right style="medium">
        <color indexed="10"/>
      </right>
      <top style="medium">
        <color indexed="10"/>
      </top>
      <bottom style="double">
        <color indexed="10"/>
      </bottom>
      <diagonal/>
    </border>
    <border>
      <left style="double">
        <color indexed="10"/>
      </left>
      <right/>
      <top style="medium">
        <color indexed="10"/>
      </top>
      <bottom/>
      <diagonal/>
    </border>
    <border>
      <left/>
      <right style="medium">
        <color indexed="10"/>
      </right>
      <top style="medium">
        <color indexed="10"/>
      </top>
      <bottom/>
      <diagonal/>
    </border>
    <border>
      <left style="double">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thin">
        <color indexed="64"/>
      </left>
      <right style="thin">
        <color indexed="64"/>
      </right>
      <top style="double">
        <color indexed="64"/>
      </top>
      <bottom/>
      <diagonal/>
    </border>
    <border>
      <left style="medium">
        <color indexed="10"/>
      </left>
      <right style="thin">
        <color indexed="64"/>
      </right>
      <top style="medium">
        <color indexed="10"/>
      </top>
      <bottom style="medium">
        <color indexed="10"/>
      </bottom>
      <diagonal/>
    </border>
    <border>
      <left style="thin">
        <color indexed="64"/>
      </left>
      <right style="double">
        <color indexed="10"/>
      </right>
      <top style="medium">
        <color indexed="10"/>
      </top>
      <bottom style="medium">
        <color indexed="10"/>
      </bottom>
      <diagonal/>
    </border>
    <border>
      <left/>
      <right style="thin">
        <color indexed="64"/>
      </right>
      <top style="double">
        <color indexed="64"/>
      </top>
      <bottom/>
      <diagonal/>
    </border>
    <border>
      <left style="double">
        <color indexed="10"/>
      </left>
      <right style="thin">
        <color indexed="64"/>
      </right>
      <top/>
      <bottom style="double">
        <color indexed="10"/>
      </bottom>
      <diagonal/>
    </border>
    <border>
      <left style="thin">
        <color indexed="64"/>
      </left>
      <right style="medium">
        <color indexed="10"/>
      </right>
      <top/>
      <bottom style="double">
        <color indexed="10"/>
      </bottom>
      <diagonal/>
    </border>
    <border>
      <left style="thin">
        <color indexed="64"/>
      </left>
      <right style="double">
        <color indexed="10"/>
      </right>
      <top style="medium">
        <color indexed="10"/>
      </top>
      <bottom style="double">
        <color indexed="10"/>
      </bottom>
      <diagonal/>
    </border>
    <border>
      <left style="thin">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31">
    <xf numFmtId="0" fontId="0" fillId="0" borderId="0"/>
    <xf numFmtId="43" fontId="1" fillId="0" borderId="0" applyFont="0" applyFill="0" applyBorder="0" applyAlignment="0" applyProtection="0"/>
    <xf numFmtId="38" fontId="6" fillId="2" borderId="0" applyNumberFormat="0" applyBorder="0" applyAlignment="0" applyProtection="0"/>
    <xf numFmtId="0" fontId="2" fillId="0" borderId="1" applyNumberFormat="0" applyAlignment="0" applyProtection="0">
      <alignment horizontal="left" vertical="center"/>
    </xf>
    <xf numFmtId="0" fontId="2" fillId="0" borderId="2">
      <alignment horizontal="left" vertical="center"/>
    </xf>
    <xf numFmtId="0" fontId="16" fillId="0" borderId="0" applyBorder="0"/>
    <xf numFmtId="10" fontId="6" fillId="3" borderId="3" applyNumberFormat="0" applyBorder="0" applyAlignment="0" applyProtection="0"/>
    <xf numFmtId="0" fontId="16" fillId="0" borderId="0"/>
    <xf numFmtId="38" fontId="17" fillId="0" borderId="0" applyFont="0" applyFill="0" applyBorder="0" applyAlignment="0" applyProtection="0"/>
    <xf numFmtId="40" fontId="17" fillId="0" borderId="0" applyFont="0" applyFill="0" applyBorder="0" applyAlignment="0" applyProtection="0"/>
    <xf numFmtId="164" fontId="17" fillId="0" borderId="0" applyFont="0" applyFill="0" applyBorder="0" applyAlignment="0" applyProtection="0"/>
    <xf numFmtId="165" fontId="17" fillId="0" borderId="0" applyFont="0" applyFill="0" applyBorder="0" applyAlignment="0" applyProtection="0"/>
    <xf numFmtId="37" fontId="14" fillId="0" borderId="0"/>
    <xf numFmtId="0" fontId="1" fillId="0" borderId="0"/>
    <xf numFmtId="0" fontId="1" fillId="0" borderId="0"/>
    <xf numFmtId="0" fontId="24" fillId="0" borderId="0"/>
    <xf numFmtId="0" fontId="3" fillId="0" borderId="0"/>
    <xf numFmtId="0" fontId="14" fillId="0" borderId="0"/>
    <xf numFmtId="0" fontId="14" fillId="0" borderId="0"/>
    <xf numFmtId="10" fontId="1" fillId="0" borderId="0" applyFont="0" applyFill="0" applyBorder="0" applyAlignment="0" applyProtection="0"/>
    <xf numFmtId="0" fontId="14" fillId="0" borderId="0"/>
    <xf numFmtId="0" fontId="18" fillId="0" borderId="0">
      <alignment vertical="center"/>
    </xf>
    <xf numFmtId="0" fontId="19" fillId="0" borderId="0" applyNumberFormat="0" applyFill="0" applyBorder="0" applyAlignment="0" applyProtection="0">
      <alignment vertical="top"/>
      <protection locked="0"/>
    </xf>
    <xf numFmtId="0" fontId="21" fillId="0" borderId="0"/>
    <xf numFmtId="0" fontId="1" fillId="0" borderId="0"/>
    <xf numFmtId="0" fontId="4" fillId="0" borderId="0"/>
    <xf numFmtId="0" fontId="3" fillId="0" borderId="0"/>
    <xf numFmtId="0" fontId="14" fillId="0" borderId="0"/>
    <xf numFmtId="0" fontId="14" fillId="0" borderId="0"/>
    <xf numFmtId="0" fontId="14" fillId="0" borderId="0"/>
    <xf numFmtId="0" fontId="20" fillId="0" borderId="0" applyNumberFormat="0" applyFill="0" applyBorder="0" applyAlignment="0" applyProtection="0">
      <alignment vertical="top"/>
      <protection locked="0"/>
    </xf>
  </cellStyleXfs>
  <cellXfs count="349">
    <xf numFmtId="0" fontId="0" fillId="0" borderId="0" xfId="0"/>
    <xf numFmtId="0" fontId="5" fillId="0" borderId="0" xfId="16" applyFont="1"/>
    <xf numFmtId="0" fontId="5" fillId="0" borderId="0" xfId="0" applyFont="1"/>
    <xf numFmtId="0" fontId="5" fillId="4" borderId="0" xfId="0" applyFont="1" applyFill="1"/>
    <xf numFmtId="0" fontId="5" fillId="0" borderId="0" xfId="25" applyFont="1"/>
    <xf numFmtId="0" fontId="5" fillId="5" borderId="4" xfId="25" applyFont="1" applyFill="1" applyBorder="1" applyAlignment="1">
      <alignment horizontal="center" vertical="center"/>
    </xf>
    <xf numFmtId="0" fontId="5" fillId="5" borderId="3" xfId="25" applyFont="1" applyFill="1" applyBorder="1" applyAlignment="1">
      <alignment horizontal="center" vertical="center"/>
    </xf>
    <xf numFmtId="0" fontId="4" fillId="0" borderId="0" xfId="26" applyFont="1"/>
    <xf numFmtId="167" fontId="9" fillId="0" borderId="3" xfId="26" applyNumberFormat="1" applyFont="1" applyBorder="1"/>
    <xf numFmtId="14" fontId="4" fillId="0" borderId="0" xfId="26" applyNumberFormat="1" applyFont="1"/>
    <xf numFmtId="0" fontId="4" fillId="0" borderId="3" xfId="26" applyFont="1" applyBorder="1" applyProtection="1">
      <protection locked="0"/>
    </xf>
    <xf numFmtId="0" fontId="4" fillId="0" borderId="3" xfId="26" applyFont="1" applyBorder="1"/>
    <xf numFmtId="0" fontId="4" fillId="3" borderId="3" xfId="26" applyFont="1" applyFill="1" applyBorder="1"/>
    <xf numFmtId="0" fontId="4" fillId="3" borderId="3" xfId="26" applyFont="1" applyFill="1" applyBorder="1" applyProtection="1">
      <protection locked="0"/>
    </xf>
    <xf numFmtId="0" fontId="5" fillId="5" borderId="5" xfId="25" applyFont="1" applyFill="1" applyBorder="1" applyAlignment="1">
      <alignment horizontal="center" vertical="center"/>
    </xf>
    <xf numFmtId="14" fontId="5" fillId="0" borderId="0" xfId="0" applyNumberFormat="1" applyFont="1" applyAlignment="1">
      <alignment shrinkToFit="1"/>
    </xf>
    <xf numFmtId="0" fontId="5" fillId="0" borderId="0" xfId="25" applyFont="1" applyAlignment="1">
      <alignment horizontal="center" vertical="center"/>
    </xf>
    <xf numFmtId="0" fontId="5" fillId="0" borderId="0" xfId="25" applyFont="1" applyAlignment="1">
      <alignment horizontal="right" vertical="center"/>
    </xf>
    <xf numFmtId="0" fontId="5" fillId="0" borderId="6" xfId="16" applyFont="1" applyBorder="1"/>
    <xf numFmtId="0" fontId="5" fillId="0" borderId="0" xfId="0" applyFont="1" applyAlignment="1">
      <alignment vertical="center"/>
    </xf>
    <xf numFmtId="0" fontId="5" fillId="0" borderId="7" xfId="0" applyFont="1" applyBorder="1" applyAlignment="1">
      <alignment vertical="center"/>
    </xf>
    <xf numFmtId="0" fontId="5" fillId="0" borderId="8" xfId="0" applyFont="1" applyBorder="1"/>
    <xf numFmtId="0" fontId="5" fillId="0" borderId="9" xfId="0" applyFont="1" applyBorder="1"/>
    <xf numFmtId="0" fontId="5" fillId="0" borderId="10" xfId="0" applyFont="1" applyBorder="1"/>
    <xf numFmtId="0" fontId="5" fillId="0" borderId="11" xfId="0" applyFont="1" applyBorder="1"/>
    <xf numFmtId="0" fontId="12" fillId="0" borderId="12" xfId="0" applyFont="1" applyBorder="1" applyAlignment="1">
      <alignment horizontal="center"/>
    </xf>
    <xf numFmtId="0" fontId="5" fillId="0" borderId="12" xfId="0" applyFont="1" applyBorder="1"/>
    <xf numFmtId="0" fontId="5" fillId="0" borderId="13" xfId="0" applyFont="1" applyBorder="1"/>
    <xf numFmtId="0" fontId="5" fillId="0" borderId="7" xfId="0" applyFont="1" applyBorder="1"/>
    <xf numFmtId="0" fontId="5" fillId="0" borderId="14" xfId="0" applyFont="1" applyBorder="1"/>
    <xf numFmtId="0" fontId="5" fillId="0" borderId="15" xfId="0" applyFont="1" applyBorder="1"/>
    <xf numFmtId="0" fontId="13" fillId="0" borderId="0" xfId="0" applyFont="1"/>
    <xf numFmtId="0" fontId="5" fillId="0" borderId="16" xfId="0" applyFont="1" applyBorder="1"/>
    <xf numFmtId="0" fontId="5" fillId="0" borderId="17" xfId="0" applyFont="1" applyBorder="1"/>
    <xf numFmtId="0" fontId="5" fillId="0" borderId="0" xfId="25" applyFont="1" applyAlignment="1">
      <alignment horizontal="center" vertical="center" wrapText="1"/>
    </xf>
    <xf numFmtId="0" fontId="4" fillId="0" borderId="18" xfId="26" applyFont="1" applyBorder="1" applyProtection="1">
      <protection locked="0"/>
    </xf>
    <xf numFmtId="0" fontId="4" fillId="3" borderId="19" xfId="26" applyFont="1" applyFill="1" applyBorder="1" applyProtection="1">
      <protection locked="0"/>
    </xf>
    <xf numFmtId="0" fontId="5" fillId="5" borderId="4" xfId="16" applyFont="1" applyFill="1" applyBorder="1" applyAlignment="1">
      <alignment horizontal="center"/>
    </xf>
    <xf numFmtId="0" fontId="5" fillId="2" borderId="20" xfId="16" applyFont="1" applyFill="1" applyBorder="1"/>
    <xf numFmtId="0" fontId="5" fillId="2" borderId="21" xfId="16" applyFont="1" applyFill="1" applyBorder="1"/>
    <xf numFmtId="0" fontId="5" fillId="5" borderId="22" xfId="16" applyFont="1" applyFill="1" applyBorder="1" applyAlignment="1">
      <alignment horizontal="center"/>
    </xf>
    <xf numFmtId="0" fontId="5" fillId="2" borderId="23" xfId="16" applyFont="1" applyFill="1" applyBorder="1"/>
    <xf numFmtId="0" fontId="5" fillId="2" borderId="24" xfId="16" applyFont="1" applyFill="1" applyBorder="1"/>
    <xf numFmtId="0" fontId="5" fillId="5" borderId="25" xfId="25" applyFont="1" applyFill="1" applyBorder="1" applyAlignment="1">
      <alignment horizontal="center" vertical="center"/>
    </xf>
    <xf numFmtId="166" fontId="5" fillId="2" borderId="26" xfId="0" applyNumberFormat="1" applyFont="1" applyFill="1" applyBorder="1" applyAlignment="1">
      <alignment horizontal="center"/>
    </xf>
    <xf numFmtId="166" fontId="5" fillId="2" borderId="27" xfId="0" applyNumberFormat="1" applyFont="1" applyFill="1" applyBorder="1" applyAlignment="1">
      <alignment horizontal="center"/>
    </xf>
    <xf numFmtId="166" fontId="5" fillId="2" borderId="28" xfId="0" applyNumberFormat="1" applyFont="1" applyFill="1" applyBorder="1" applyAlignment="1">
      <alignment horizontal="center"/>
    </xf>
    <xf numFmtId="166" fontId="5" fillId="2" borderId="2" xfId="0" applyNumberFormat="1" applyFont="1" applyFill="1" applyBorder="1" applyAlignment="1">
      <alignment horizontal="center"/>
    </xf>
    <xf numFmtId="0" fontId="5" fillId="5" borderId="29" xfId="25" applyFont="1" applyFill="1" applyBorder="1" applyAlignment="1">
      <alignment horizontal="center" vertical="center"/>
    </xf>
    <xf numFmtId="166" fontId="5" fillId="2" borderId="30" xfId="0" applyNumberFormat="1" applyFont="1" applyFill="1" applyBorder="1" applyAlignment="1">
      <alignment horizontal="center"/>
    </xf>
    <xf numFmtId="166" fontId="5" fillId="2" borderId="0" xfId="0" applyNumberFormat="1" applyFont="1" applyFill="1" applyAlignment="1">
      <alignment horizontal="center"/>
    </xf>
    <xf numFmtId="0" fontId="5" fillId="5" borderId="31" xfId="25" applyFont="1" applyFill="1" applyBorder="1" applyAlignment="1">
      <alignment horizontal="center" vertical="center"/>
    </xf>
    <xf numFmtId="0" fontId="5" fillId="2" borderId="32" xfId="0" applyFont="1" applyFill="1" applyBorder="1" applyAlignment="1">
      <alignment vertical="center"/>
    </xf>
    <xf numFmtId="0" fontId="5" fillId="2" borderId="33" xfId="0" applyFont="1" applyFill="1" applyBorder="1" applyAlignment="1">
      <alignment vertical="center"/>
    </xf>
    <xf numFmtId="0" fontId="5" fillId="2" borderId="28" xfId="0" applyFont="1" applyFill="1" applyBorder="1" applyAlignment="1">
      <alignment vertical="center"/>
    </xf>
    <xf numFmtId="0" fontId="5" fillId="2" borderId="21" xfId="0" applyFont="1" applyFill="1" applyBorder="1" applyAlignment="1">
      <alignment vertical="center"/>
    </xf>
    <xf numFmtId="0" fontId="4" fillId="5" borderId="3" xfId="26" applyFont="1" applyFill="1" applyBorder="1"/>
    <xf numFmtId="167" fontId="9" fillId="2" borderId="3" xfId="26" applyNumberFormat="1" applyFont="1" applyFill="1" applyBorder="1"/>
    <xf numFmtId="0" fontId="9" fillId="5" borderId="3" xfId="26" applyFont="1" applyFill="1" applyBorder="1" applyProtection="1">
      <protection locked="0"/>
    </xf>
    <xf numFmtId="0" fontId="4" fillId="5" borderId="3" xfId="26" applyFont="1" applyFill="1" applyBorder="1" applyProtection="1">
      <protection locked="0"/>
    </xf>
    <xf numFmtId="0" fontId="9" fillId="5" borderId="34" xfId="26" applyFont="1" applyFill="1" applyBorder="1" applyProtection="1">
      <protection locked="0"/>
    </xf>
    <xf numFmtId="0" fontId="9" fillId="0" borderId="3" xfId="26" applyFont="1" applyBorder="1" applyProtection="1">
      <protection locked="0"/>
    </xf>
    <xf numFmtId="0" fontId="9" fillId="5" borderId="3" xfId="26" applyFont="1" applyFill="1" applyBorder="1"/>
    <xf numFmtId="0" fontId="4" fillId="0" borderId="0" xfId="27" applyFont="1" applyAlignment="1">
      <alignment horizontal="left"/>
    </xf>
    <xf numFmtId="0" fontId="4" fillId="0" borderId="0" xfId="27" applyFont="1" applyAlignment="1">
      <alignment vertical="top"/>
    </xf>
    <xf numFmtId="0" fontId="2" fillId="0" borderId="0" xfId="0" applyFont="1" applyAlignment="1">
      <alignment horizontal="left" vertical="center"/>
    </xf>
    <xf numFmtId="0" fontId="4" fillId="0" borderId="0" xfId="28" applyFont="1" applyAlignment="1">
      <alignment vertical="top"/>
    </xf>
    <xf numFmtId="0" fontId="2" fillId="0" borderId="0" xfId="27" applyFont="1" applyAlignment="1">
      <alignment vertical="top"/>
    </xf>
    <xf numFmtId="0" fontId="1" fillId="0" borderId="0" xfId="27" applyFont="1" applyAlignment="1">
      <alignment horizontal="left" vertical="center"/>
    </xf>
    <xf numFmtId="0" fontId="4" fillId="0" borderId="0" xfId="27" applyFont="1" applyAlignment="1">
      <alignment horizontal="center" vertical="center"/>
    </xf>
    <xf numFmtId="0" fontId="8" fillId="0" borderId="0" xfId="27" applyFont="1" applyAlignment="1">
      <alignment horizontal="center" vertical="center"/>
    </xf>
    <xf numFmtId="0" fontId="8" fillId="0" borderId="0" xfId="0" applyFont="1" applyAlignment="1">
      <alignment horizontal="center" vertical="center"/>
    </xf>
    <xf numFmtId="0" fontId="4" fillId="0" borderId="0" xfId="18" applyFont="1" applyAlignment="1">
      <alignment vertical="top"/>
    </xf>
    <xf numFmtId="0" fontId="15" fillId="0" borderId="0" xfId="27" applyFont="1" applyAlignment="1">
      <alignment vertical="top"/>
    </xf>
    <xf numFmtId="0" fontId="4" fillId="0" borderId="0" xfId="29" applyFont="1" applyAlignment="1">
      <alignment vertical="top"/>
    </xf>
    <xf numFmtId="0" fontId="15" fillId="0" borderId="0" xfId="27" applyFont="1" applyAlignment="1">
      <alignment vertical="center"/>
    </xf>
    <xf numFmtId="0" fontId="15" fillId="0" borderId="0" xfId="27" applyFont="1"/>
    <xf numFmtId="0" fontId="22" fillId="0" borderId="0" xfId="27" applyFont="1" applyAlignment="1">
      <alignment horizontal="left" vertical="center"/>
    </xf>
    <xf numFmtId="0" fontId="1" fillId="0" borderId="0" xfId="27" applyFont="1" applyAlignment="1">
      <alignment horizontal="left"/>
    </xf>
    <xf numFmtId="0" fontId="1" fillId="0" borderId="0" xfId="0" applyFont="1"/>
    <xf numFmtId="167" fontId="1" fillId="2" borderId="3" xfId="26" applyNumberFormat="1" applyFont="1" applyFill="1" applyBorder="1"/>
    <xf numFmtId="0" fontId="1" fillId="5" borderId="3" xfId="26" applyFont="1" applyFill="1" applyBorder="1" applyProtection="1">
      <protection locked="0"/>
    </xf>
    <xf numFmtId="0" fontId="1" fillId="5" borderId="34" xfId="26" applyFont="1" applyFill="1" applyBorder="1" applyProtection="1">
      <protection locked="0"/>
    </xf>
    <xf numFmtId="0" fontId="1" fillId="5" borderId="3" xfId="26" applyFont="1" applyFill="1" applyBorder="1"/>
    <xf numFmtId="0" fontId="4" fillId="0" borderId="3" xfId="27" applyFont="1" applyBorder="1" applyAlignment="1">
      <alignment horizontal="left"/>
    </xf>
    <xf numFmtId="0" fontId="1" fillId="0" borderId="3" xfId="27" applyFont="1" applyBorder="1" applyAlignment="1">
      <alignment horizontal="right"/>
    </xf>
    <xf numFmtId="0" fontId="26" fillId="0" borderId="35" xfId="15" applyFont="1" applyBorder="1"/>
    <xf numFmtId="0" fontId="26" fillId="0" borderId="0" xfId="15" applyFont="1"/>
    <xf numFmtId="0" fontId="4" fillId="0" borderId="36" xfId="27" applyFont="1" applyBorder="1" applyAlignment="1">
      <alignment horizontal="left"/>
    </xf>
    <xf numFmtId="0" fontId="26" fillId="0" borderId="37" xfId="15" applyFont="1" applyBorder="1"/>
    <xf numFmtId="0" fontId="26" fillId="0" borderId="7" xfId="15" applyFont="1" applyBorder="1"/>
    <xf numFmtId="0" fontId="4" fillId="0" borderId="7" xfId="27" applyFont="1" applyBorder="1" applyAlignment="1">
      <alignment horizontal="left"/>
    </xf>
    <xf numFmtId="0" fontId="4" fillId="0" borderId="38" xfId="27" applyFont="1" applyBorder="1" applyAlignment="1">
      <alignment horizontal="left"/>
    </xf>
    <xf numFmtId="0" fontId="26" fillId="0" borderId="39" xfId="15" applyFont="1" applyBorder="1"/>
    <xf numFmtId="0" fontId="26" fillId="0" borderId="2" xfId="15" applyFont="1" applyBorder="1"/>
    <xf numFmtId="0" fontId="4" fillId="0" borderId="2" xfId="27" applyFont="1" applyBorder="1" applyAlignment="1">
      <alignment horizontal="left"/>
    </xf>
    <xf numFmtId="0" fontId="4" fillId="0" borderId="40" xfId="27" applyFont="1" applyBorder="1" applyAlignment="1">
      <alignment horizontal="left"/>
    </xf>
    <xf numFmtId="0" fontId="26" fillId="0" borderId="41" xfId="15" applyFont="1" applyBorder="1"/>
    <xf numFmtId="0" fontId="23" fillId="0" borderId="42" xfId="15" applyFont="1" applyBorder="1"/>
    <xf numFmtId="0" fontId="4" fillId="0" borderId="42" xfId="27" applyFont="1" applyBorder="1" applyAlignment="1">
      <alignment horizontal="left"/>
    </xf>
    <xf numFmtId="0" fontId="4" fillId="0" borderId="43" xfId="27" applyFont="1" applyBorder="1" applyAlignment="1">
      <alignment horizontal="left"/>
    </xf>
    <xf numFmtId="0" fontId="26" fillId="0" borderId="42" xfId="15" applyFont="1" applyBorder="1"/>
    <xf numFmtId="0" fontId="23" fillId="0" borderId="41" xfId="15" applyFont="1" applyBorder="1"/>
    <xf numFmtId="0" fontId="1" fillId="0" borderId="0" xfId="14"/>
    <xf numFmtId="0" fontId="6" fillId="0" borderId="44" xfId="14" applyFont="1" applyBorder="1"/>
    <xf numFmtId="0" fontId="6" fillId="0" borderId="0" xfId="14" applyFont="1"/>
    <xf numFmtId="0" fontId="6" fillId="0" borderId="45" xfId="14" applyFont="1" applyBorder="1"/>
    <xf numFmtId="0" fontId="6" fillId="0" borderId="46" xfId="14" applyFont="1" applyBorder="1"/>
    <xf numFmtId="0" fontId="11" fillId="0" borderId="0" xfId="13" quotePrefix="1" applyFont="1"/>
    <xf numFmtId="0" fontId="8" fillId="0" borderId="0" xfId="13" applyFont="1" applyAlignment="1">
      <alignment horizontal="centerContinuous" vertical="center"/>
    </xf>
    <xf numFmtId="0" fontId="11" fillId="0" borderId="0" xfId="13" applyFont="1" applyAlignment="1">
      <alignment vertical="center"/>
    </xf>
    <xf numFmtId="49" fontId="8" fillId="0" borderId="0" xfId="13" applyNumberFormat="1" applyFont="1" applyAlignment="1">
      <alignment vertical="center"/>
    </xf>
    <xf numFmtId="49" fontId="6" fillId="0" borderId="0" xfId="13" applyNumberFormat="1" applyFont="1" applyAlignment="1">
      <alignment vertical="center"/>
    </xf>
    <xf numFmtId="49" fontId="6" fillId="0" borderId="0" xfId="13" quotePrefix="1" applyNumberFormat="1" applyFont="1" applyAlignment="1">
      <alignment vertical="center"/>
    </xf>
    <xf numFmtId="0" fontId="1" fillId="0" borderId="0" xfId="13" applyAlignment="1">
      <alignment vertical="center"/>
    </xf>
    <xf numFmtId="0" fontId="28" fillId="0" borderId="0" xfId="13" quotePrefix="1" applyFont="1"/>
    <xf numFmtId="0" fontId="6" fillId="0" borderId="0" xfId="13" applyFont="1" applyAlignment="1">
      <alignment vertical="center"/>
    </xf>
    <xf numFmtId="0" fontId="6" fillId="0" borderId="0" xfId="13" applyFont="1" applyAlignment="1">
      <alignment horizontal="centerContinuous" vertical="center"/>
    </xf>
    <xf numFmtId="0" fontId="1" fillId="0" borderId="0" xfId="13" applyAlignment="1">
      <alignment horizontal="centerContinuous" vertical="center"/>
    </xf>
    <xf numFmtId="0" fontId="6" fillId="0" borderId="0" xfId="13" applyFont="1" applyAlignment="1">
      <alignment horizontal="center" vertical="center"/>
    </xf>
    <xf numFmtId="0" fontId="1" fillId="0" borderId="0" xfId="13" applyAlignment="1">
      <alignment horizontal="left" vertical="center"/>
    </xf>
    <xf numFmtId="0" fontId="29" fillId="0" borderId="0" xfId="13" applyFont="1" applyAlignment="1">
      <alignment horizontal="center" vertical="center"/>
    </xf>
    <xf numFmtId="0" fontId="28" fillId="0" borderId="0" xfId="17" quotePrefix="1" applyFont="1" applyAlignment="1">
      <alignment vertical="center"/>
    </xf>
    <xf numFmtId="0" fontId="6" fillId="0" borderId="0" xfId="13" applyFont="1"/>
    <xf numFmtId="0" fontId="28" fillId="0" borderId="0" xfId="13" applyFont="1"/>
    <xf numFmtId="0" fontId="29" fillId="0" borderId="0" xfId="13" applyFont="1" applyAlignment="1">
      <alignment vertical="center"/>
    </xf>
    <xf numFmtId="0" fontId="6" fillId="0" borderId="0" xfId="17" applyFont="1" applyAlignment="1">
      <alignment vertical="center"/>
    </xf>
    <xf numFmtId="0" fontId="28" fillId="0" borderId="0" xfId="13" applyFont="1" applyAlignment="1">
      <alignment vertical="center"/>
    </xf>
    <xf numFmtId="0" fontId="1" fillId="0" borderId="44" xfId="14" applyBorder="1"/>
    <xf numFmtId="0" fontId="1" fillId="0" borderId="46" xfId="14" applyBorder="1"/>
    <xf numFmtId="0" fontId="8" fillId="0" borderId="47" xfId="14" applyFont="1" applyBorder="1"/>
    <xf numFmtId="0" fontId="8" fillId="0" borderId="6" xfId="14" applyFont="1" applyBorder="1"/>
    <xf numFmtId="0" fontId="8" fillId="0" borderId="48" xfId="14" applyFont="1" applyBorder="1"/>
    <xf numFmtId="0" fontId="8" fillId="0" borderId="44" xfId="14" applyFont="1" applyBorder="1"/>
    <xf numFmtId="49" fontId="8" fillId="0" borderId="0" xfId="13" quotePrefix="1" applyNumberFormat="1" applyFont="1" applyAlignment="1">
      <alignment vertical="center"/>
    </xf>
    <xf numFmtId="0" fontId="8" fillId="0" borderId="0" xfId="14" applyFont="1"/>
    <xf numFmtId="0" fontId="8" fillId="0" borderId="46" xfId="14" applyFont="1" applyBorder="1"/>
    <xf numFmtId="0" fontId="11" fillId="0" borderId="0" xfId="14" quotePrefix="1" applyFont="1"/>
    <xf numFmtId="0" fontId="11" fillId="0" borderId="0" xfId="14" applyFont="1"/>
    <xf numFmtId="0" fontId="1" fillId="0" borderId="47" xfId="14" applyBorder="1"/>
    <xf numFmtId="0" fontId="1" fillId="0" borderId="6" xfId="14" applyBorder="1"/>
    <xf numFmtId="0" fontId="1" fillId="0" borderId="48" xfId="14" applyBorder="1"/>
    <xf numFmtId="0" fontId="4" fillId="0" borderId="0" xfId="26" applyFont="1" applyAlignment="1">
      <alignment horizontal="right"/>
    </xf>
    <xf numFmtId="0" fontId="1" fillId="0" borderId="0" xfId="14" quotePrefix="1"/>
    <xf numFmtId="0" fontId="8" fillId="0" borderId="0" xfId="14" quotePrefix="1" applyFont="1"/>
    <xf numFmtId="0" fontId="7" fillId="0" borderId="0" xfId="14" applyFont="1" applyAlignment="1">
      <alignment horizontal="center"/>
    </xf>
    <xf numFmtId="0" fontId="5" fillId="0" borderId="44" xfId="25" applyFont="1" applyBorder="1" applyAlignment="1">
      <alignment horizontal="center" vertical="center"/>
    </xf>
    <xf numFmtId="0" fontId="5" fillId="0" borderId="6" xfId="25" applyFont="1" applyBorder="1" applyAlignment="1">
      <alignment horizontal="center" vertical="center"/>
    </xf>
    <xf numFmtId="170" fontId="5" fillId="0" borderId="6" xfId="25" applyNumberFormat="1" applyFont="1" applyBorder="1" applyAlignment="1">
      <alignment horizontal="center" vertical="center"/>
    </xf>
    <xf numFmtId="171" fontId="5" fillId="0" borderId="0" xfId="1" applyNumberFormat="1" applyFont="1"/>
    <xf numFmtId="0" fontId="12" fillId="0" borderId="0" xfId="0" applyFont="1"/>
    <xf numFmtId="0" fontId="5" fillId="2" borderId="52" xfId="25" quotePrefix="1" applyFont="1" applyFill="1" applyBorder="1" applyAlignment="1">
      <alignment horizontal="center" vertical="center"/>
    </xf>
    <xf numFmtId="0" fontId="5" fillId="2" borderId="56" xfId="25" quotePrefix="1" applyFont="1" applyFill="1" applyBorder="1" applyAlignment="1">
      <alignment horizontal="center" vertical="center"/>
    </xf>
    <xf numFmtId="0" fontId="5" fillId="0" borderId="50" xfId="25" applyFont="1" applyBorder="1" applyAlignment="1">
      <alignment horizontal="center" vertical="center"/>
    </xf>
    <xf numFmtId="0" fontId="5" fillId="0" borderId="3" xfId="25" applyFont="1" applyBorder="1" applyAlignment="1">
      <alignment horizontal="center" vertical="center"/>
    </xf>
    <xf numFmtId="0" fontId="5" fillId="5" borderId="51" xfId="25" applyFont="1" applyFill="1" applyBorder="1" applyAlignment="1">
      <alignment horizontal="center" vertical="center" wrapText="1"/>
    </xf>
    <xf numFmtId="0" fontId="5" fillId="5" borderId="52" xfId="25" applyFont="1" applyFill="1" applyBorder="1" applyAlignment="1">
      <alignment horizontal="center" vertical="center"/>
    </xf>
    <xf numFmtId="0" fontId="5" fillId="5" borderId="53" xfId="25" applyFont="1" applyFill="1" applyBorder="1" applyAlignment="1">
      <alignment horizontal="center" vertical="center"/>
    </xf>
    <xf numFmtId="0" fontId="5" fillId="5" borderId="48" xfId="25" applyFont="1" applyFill="1" applyBorder="1" applyAlignment="1">
      <alignment horizontal="center" vertical="center"/>
    </xf>
    <xf numFmtId="0" fontId="5" fillId="5" borderId="45" xfId="25" applyFont="1" applyFill="1" applyBorder="1" applyAlignment="1">
      <alignment horizontal="center" vertical="center" wrapText="1"/>
    </xf>
    <xf numFmtId="0" fontId="5" fillId="5" borderId="24" xfId="25" applyFont="1" applyFill="1" applyBorder="1" applyAlignment="1">
      <alignment horizontal="center" vertical="center" wrapText="1"/>
    </xf>
    <xf numFmtId="0" fontId="5" fillId="5" borderId="6" xfId="25" applyFont="1" applyFill="1" applyBorder="1" applyAlignment="1">
      <alignment horizontal="center" vertical="center" wrapText="1"/>
    </xf>
    <xf numFmtId="0" fontId="5" fillId="5" borderId="54" xfId="25" applyFont="1" applyFill="1" applyBorder="1" applyAlignment="1">
      <alignment horizontal="center" vertical="center" wrapText="1"/>
    </xf>
    <xf numFmtId="0" fontId="5" fillId="0" borderId="49" xfId="25" applyFont="1" applyBorder="1" applyAlignment="1">
      <alignment horizontal="center" vertical="center"/>
    </xf>
    <xf numFmtId="0" fontId="5" fillId="0" borderId="5" xfId="25" applyFont="1" applyBorder="1" applyAlignment="1">
      <alignment horizontal="center" vertical="center"/>
    </xf>
    <xf numFmtId="49" fontId="5" fillId="0" borderId="4" xfId="25" applyNumberFormat="1" applyFont="1" applyBorder="1" applyAlignment="1">
      <alignment horizontal="right" vertical="center"/>
    </xf>
    <xf numFmtId="49" fontId="5" fillId="0" borderId="49" xfId="25" applyNumberFormat="1" applyFont="1" applyBorder="1" applyAlignment="1">
      <alignment horizontal="right" vertical="center"/>
    </xf>
    <xf numFmtId="0" fontId="6" fillId="0" borderId="3" xfId="25" applyFont="1" applyBorder="1" applyAlignment="1">
      <alignment horizontal="center" vertical="center"/>
    </xf>
    <xf numFmtId="0" fontId="5" fillId="0" borderId="3" xfId="25" applyFont="1" applyBorder="1" applyAlignment="1">
      <alignment horizontal="right" vertical="center"/>
    </xf>
    <xf numFmtId="0" fontId="5" fillId="5" borderId="4" xfId="25" applyFont="1" applyFill="1" applyBorder="1" applyAlignment="1">
      <alignment horizontal="center" vertical="center"/>
    </xf>
    <xf numFmtId="0" fontId="5" fillId="5" borderId="2" xfId="25" applyFont="1" applyFill="1" applyBorder="1" applyAlignment="1">
      <alignment horizontal="center" vertical="center"/>
    </xf>
    <xf numFmtId="0" fontId="5" fillId="5" borderId="21" xfId="25" applyFont="1" applyFill="1" applyBorder="1" applyAlignment="1">
      <alignment horizontal="center" vertical="center"/>
    </xf>
    <xf numFmtId="9" fontId="5" fillId="0" borderId="4" xfId="16" applyNumberFormat="1" applyFont="1" applyBorder="1"/>
    <xf numFmtId="9" fontId="5" fillId="0" borderId="49" xfId="16" applyNumberFormat="1" applyFont="1" applyBorder="1"/>
    <xf numFmtId="0" fontId="5" fillId="5" borderId="3" xfId="16" applyFont="1" applyFill="1" applyBorder="1" applyAlignment="1">
      <alignment horizontal="center"/>
    </xf>
    <xf numFmtId="0" fontId="5" fillId="6" borderId="3" xfId="16" applyFont="1" applyFill="1" applyBorder="1" applyAlignment="1">
      <alignment horizontal="center"/>
    </xf>
    <xf numFmtId="0" fontId="5" fillId="5" borderId="3" xfId="16" applyFont="1" applyFill="1" applyBorder="1"/>
    <xf numFmtId="0" fontId="5" fillId="0" borderId="3" xfId="16" applyFont="1" applyBorder="1"/>
    <xf numFmtId="0" fontId="5" fillId="0" borderId="4" xfId="16" applyFont="1" applyBorder="1" applyAlignment="1">
      <alignment horizontal="center"/>
    </xf>
    <xf numFmtId="0" fontId="5" fillId="0" borderId="2" xfId="16" applyFont="1" applyBorder="1" applyAlignment="1">
      <alignment horizontal="center"/>
    </xf>
    <xf numFmtId="0" fontId="5" fillId="0" borderId="49" xfId="16" applyFont="1" applyBorder="1" applyAlignment="1">
      <alignment horizontal="center"/>
    </xf>
    <xf numFmtId="0" fontId="5" fillId="5" borderId="2" xfId="25" applyFont="1" applyFill="1" applyBorder="1" applyAlignment="1">
      <alignment horizontal="center" vertical="center" wrapText="1"/>
    </xf>
    <xf numFmtId="0" fontId="5" fillId="5" borderId="49" xfId="25" applyFont="1" applyFill="1" applyBorder="1" applyAlignment="1">
      <alignment horizontal="center" vertical="center" wrapText="1"/>
    </xf>
    <xf numFmtId="0" fontId="5" fillId="0" borderId="49" xfId="25" applyFont="1" applyBorder="1" applyAlignment="1">
      <alignment vertical="center"/>
    </xf>
    <xf numFmtId="0" fontId="5" fillId="0" borderId="3" xfId="25" applyFont="1" applyBorder="1" applyAlignment="1">
      <alignment vertical="center"/>
    </xf>
    <xf numFmtId="0" fontId="5" fillId="0" borderId="22" xfId="16" applyFont="1" applyBorder="1"/>
    <xf numFmtId="0" fontId="5" fillId="0" borderId="52" xfId="16" applyFont="1" applyBorder="1"/>
    <xf numFmtId="0" fontId="5" fillId="0" borderId="4" xfId="16" applyFont="1" applyBorder="1"/>
    <xf numFmtId="0" fontId="5" fillId="0" borderId="49" xfId="16" applyFont="1" applyBorder="1"/>
    <xf numFmtId="0" fontId="5" fillId="5" borderId="22" xfId="25" applyFont="1" applyFill="1" applyBorder="1" applyAlignment="1">
      <alignment horizontal="center" vertical="center" wrapText="1"/>
    </xf>
    <xf numFmtId="0" fontId="0" fillId="0" borderId="45" xfId="0" applyBorder="1"/>
    <xf numFmtId="0" fontId="0" fillId="0" borderId="47" xfId="0" applyBorder="1"/>
    <xf numFmtId="0" fontId="0" fillId="0" borderId="6" xfId="0" applyBorder="1"/>
    <xf numFmtId="0" fontId="5" fillId="0" borderId="6" xfId="25" applyFont="1" applyBorder="1" applyAlignment="1">
      <alignment horizontal="center" vertical="center"/>
    </xf>
    <xf numFmtId="0" fontId="5" fillId="0" borderId="55" xfId="25" applyFont="1" applyBorder="1" applyAlignment="1">
      <alignment horizontal="center" vertical="center"/>
    </xf>
    <xf numFmtId="0" fontId="5" fillId="0" borderId="44" xfId="25" applyFont="1" applyBorder="1" applyAlignment="1">
      <alignment horizontal="center" vertical="center"/>
    </xf>
    <xf numFmtId="0" fontId="5" fillId="0" borderId="4" xfId="25" applyFont="1" applyBorder="1" applyAlignment="1">
      <alignment horizontal="right" vertical="center"/>
    </xf>
    <xf numFmtId="0" fontId="5" fillId="0" borderId="49" xfId="25" applyFont="1" applyBorder="1" applyAlignment="1">
      <alignment horizontal="right" vertical="center"/>
    </xf>
    <xf numFmtId="49" fontId="5" fillId="0" borderId="2" xfId="25" applyNumberFormat="1" applyFont="1" applyBorder="1" applyAlignment="1">
      <alignment horizontal="right" vertical="center"/>
    </xf>
    <xf numFmtId="0" fontId="5" fillId="5" borderId="3" xfId="25" applyFont="1" applyFill="1" applyBorder="1" applyAlignment="1">
      <alignment horizontal="center" vertical="center" wrapText="1"/>
    </xf>
    <xf numFmtId="17" fontId="12" fillId="0" borderId="70" xfId="0" applyNumberFormat="1" applyFont="1" applyBorder="1" applyAlignment="1">
      <alignment horizontal="center" vertical="center"/>
    </xf>
    <xf numFmtId="17" fontId="12" fillId="0" borderId="71" xfId="0" applyNumberFormat="1" applyFont="1" applyBorder="1" applyAlignment="1">
      <alignment horizontal="center" vertical="center"/>
    </xf>
    <xf numFmtId="0" fontId="5" fillId="5" borderId="5" xfId="25" applyFont="1" applyFill="1" applyBorder="1" applyAlignment="1">
      <alignment horizontal="center" vertical="center" wrapText="1"/>
    </xf>
    <xf numFmtId="0" fontId="5" fillId="0" borderId="4" xfId="25" applyFont="1" applyBorder="1" applyAlignment="1">
      <alignment vertical="center"/>
    </xf>
    <xf numFmtId="0" fontId="5" fillId="0" borderId="21" xfId="25" applyFont="1" applyBorder="1" applyAlignment="1">
      <alignment vertical="center"/>
    </xf>
    <xf numFmtId="0" fontId="5" fillId="6" borderId="3" xfId="25" applyFont="1" applyFill="1" applyBorder="1" applyAlignment="1">
      <alignment horizontal="center" vertical="center" wrapText="1"/>
    </xf>
    <xf numFmtId="0" fontId="5" fillId="5" borderId="3" xfId="25" applyFont="1" applyFill="1" applyBorder="1" applyAlignment="1">
      <alignment horizontal="center" vertical="center"/>
    </xf>
    <xf numFmtId="0" fontId="5" fillId="5" borderId="3" xfId="25" quotePrefix="1" applyFont="1" applyFill="1" applyBorder="1" applyAlignment="1">
      <alignment horizontal="center" vertical="center"/>
    </xf>
    <xf numFmtId="49" fontId="5" fillId="0" borderId="21" xfId="25" applyNumberFormat="1" applyFont="1" applyBorder="1" applyAlignment="1">
      <alignment horizontal="right" vertical="center"/>
    </xf>
    <xf numFmtId="0" fontId="0" fillId="0" borderId="2" xfId="0" applyBorder="1" applyAlignment="1">
      <alignment horizontal="center" vertical="center"/>
    </xf>
    <xf numFmtId="0" fontId="0" fillId="0" borderId="21" xfId="0" applyBorder="1" applyAlignment="1">
      <alignment horizontal="center" vertical="center"/>
    </xf>
    <xf numFmtId="0" fontId="5" fillId="5" borderId="4" xfId="25" applyFont="1" applyFill="1" applyBorder="1" applyAlignment="1">
      <alignment horizontal="center" vertical="center" wrapText="1"/>
    </xf>
    <xf numFmtId="0" fontId="5" fillId="5" borderId="4" xfId="25" applyFont="1" applyFill="1" applyBorder="1" applyAlignment="1">
      <alignment horizontal="left" vertical="center"/>
    </xf>
    <xf numFmtId="0" fontId="5" fillId="5" borderId="2" xfId="25" applyFont="1" applyFill="1" applyBorder="1" applyAlignment="1">
      <alignment horizontal="left" vertical="center"/>
    </xf>
    <xf numFmtId="0" fontId="5" fillId="5" borderId="49" xfId="25" applyFont="1" applyFill="1" applyBorder="1" applyAlignment="1">
      <alignment horizontal="left" vertical="center"/>
    </xf>
    <xf numFmtId="0" fontId="5" fillId="5" borderId="58" xfId="25" applyFont="1" applyFill="1" applyBorder="1" applyAlignment="1">
      <alignment horizontal="center" vertical="center"/>
    </xf>
    <xf numFmtId="0" fontId="5" fillId="5" borderId="59" xfId="25" applyFont="1" applyFill="1" applyBorder="1" applyAlignment="1">
      <alignment horizontal="center" vertical="center"/>
    </xf>
    <xf numFmtId="0" fontId="5" fillId="5" borderId="60" xfId="25" applyFont="1" applyFill="1" applyBorder="1" applyAlignment="1">
      <alignment horizontal="center" vertical="center"/>
    </xf>
    <xf numFmtId="0" fontId="5" fillId="5" borderId="61" xfId="25" applyFont="1" applyFill="1" applyBorder="1" applyAlignment="1">
      <alignment horizontal="center" vertical="center"/>
    </xf>
    <xf numFmtId="0" fontId="5" fillId="5" borderId="62" xfId="25" applyFont="1" applyFill="1" applyBorder="1" applyAlignment="1">
      <alignment horizontal="center" vertical="center"/>
    </xf>
    <xf numFmtId="0" fontId="5" fillId="5" borderId="63" xfId="25" applyFont="1" applyFill="1" applyBorder="1" applyAlignment="1">
      <alignment horizontal="center" vertical="center"/>
    </xf>
    <xf numFmtId="0" fontId="5" fillId="5" borderId="64" xfId="25" applyFont="1" applyFill="1" applyBorder="1" applyAlignment="1">
      <alignment horizontal="center" vertical="center"/>
    </xf>
    <xf numFmtId="0" fontId="5" fillId="5" borderId="65" xfId="25" applyFont="1" applyFill="1" applyBorder="1" applyAlignment="1">
      <alignment horizontal="center" vertical="center"/>
    </xf>
    <xf numFmtId="0" fontId="5" fillId="5" borderId="66" xfId="25" applyFont="1" applyFill="1" applyBorder="1" applyAlignment="1">
      <alignment horizontal="center" vertical="center"/>
    </xf>
    <xf numFmtId="0" fontId="0" fillId="0" borderId="45" xfId="0" applyBorder="1" applyAlignment="1">
      <alignment horizontal="center" vertical="center"/>
    </xf>
    <xf numFmtId="0" fontId="0" fillId="0" borderId="53" xfId="0" applyBorder="1" applyAlignment="1">
      <alignment horizontal="center" vertical="center"/>
    </xf>
    <xf numFmtId="0" fontId="0" fillId="0" borderId="6" xfId="0" applyBorder="1" applyAlignment="1">
      <alignment horizontal="center" vertical="center"/>
    </xf>
    <xf numFmtId="0" fontId="5" fillId="0" borderId="28" xfId="25" applyFont="1" applyBorder="1" applyAlignment="1">
      <alignment vertical="center"/>
    </xf>
    <xf numFmtId="0" fontId="5" fillId="0" borderId="2" xfId="25" applyFont="1" applyBorder="1" applyAlignment="1">
      <alignment vertical="center"/>
    </xf>
    <xf numFmtId="0" fontId="0" fillId="0" borderId="52" xfId="0" applyBorder="1"/>
    <xf numFmtId="0" fontId="0" fillId="0" borderId="48" xfId="0" applyBorder="1"/>
    <xf numFmtId="0" fontId="5" fillId="5" borderId="56" xfId="25" applyFont="1" applyFill="1" applyBorder="1" applyAlignment="1">
      <alignment horizontal="center" vertical="center"/>
    </xf>
    <xf numFmtId="0" fontId="5" fillId="5" borderId="57" xfId="25" applyFont="1" applyFill="1" applyBorder="1" applyAlignment="1">
      <alignment horizontal="center" vertical="center"/>
    </xf>
    <xf numFmtId="0" fontId="5" fillId="0" borderId="24" xfId="0" applyFont="1" applyBorder="1" applyAlignment="1">
      <alignment horizontal="center" vertical="center"/>
    </xf>
    <xf numFmtId="0" fontId="5" fillId="0" borderId="53" xfId="0" applyFont="1" applyBorder="1" applyAlignment="1">
      <alignment horizontal="center" vertical="center"/>
    </xf>
    <xf numFmtId="0" fontId="5" fillId="0" borderId="54" xfId="0" applyFont="1" applyBorder="1" applyAlignment="1">
      <alignment horizontal="center" vertical="center"/>
    </xf>
    <xf numFmtId="0" fontId="5" fillId="6" borderId="45" xfId="25" applyFont="1" applyFill="1" applyBorder="1" applyAlignment="1">
      <alignment horizontal="center" vertical="center" wrapText="1"/>
    </xf>
    <xf numFmtId="0" fontId="5" fillId="6" borderId="52" xfId="25" applyFont="1" applyFill="1" applyBorder="1" applyAlignment="1">
      <alignment horizontal="center" vertical="center" wrapText="1"/>
    </xf>
    <xf numFmtId="0" fontId="5" fillId="6" borderId="0" xfId="25" applyFont="1" applyFill="1" applyAlignment="1">
      <alignment horizontal="center" vertical="center" wrapText="1"/>
    </xf>
    <xf numFmtId="0" fontId="5" fillId="6" borderId="46" xfId="25" applyFont="1" applyFill="1" applyBorder="1" applyAlignment="1">
      <alignment horizontal="center" vertical="center" wrapText="1"/>
    </xf>
    <xf numFmtId="0" fontId="5" fillId="6" borderId="5" xfId="25" applyFont="1" applyFill="1" applyBorder="1" applyAlignment="1">
      <alignment horizontal="center" vertical="center" wrapText="1"/>
    </xf>
    <xf numFmtId="0" fontId="5" fillId="6" borderId="51" xfId="25" applyFont="1" applyFill="1" applyBorder="1" applyAlignment="1">
      <alignment horizontal="center" vertical="center" wrapText="1"/>
    </xf>
    <xf numFmtId="0" fontId="5" fillId="6" borderId="52" xfId="25" applyFont="1" applyFill="1" applyBorder="1" applyAlignment="1">
      <alignment horizontal="center" vertical="center"/>
    </xf>
    <xf numFmtId="0" fontId="5" fillId="6" borderId="53" xfId="25" applyFont="1" applyFill="1" applyBorder="1" applyAlignment="1">
      <alignment horizontal="center" vertical="center"/>
    </xf>
    <xf numFmtId="0" fontId="5" fillId="6" borderId="48" xfId="25" applyFont="1" applyFill="1" applyBorder="1" applyAlignment="1">
      <alignment horizontal="center" vertical="center"/>
    </xf>
    <xf numFmtId="0" fontId="5" fillId="6" borderId="34" xfId="25" applyFont="1" applyFill="1" applyBorder="1" applyAlignment="1">
      <alignment horizontal="center" vertical="center" wrapText="1"/>
    </xf>
    <xf numFmtId="168" fontId="5" fillId="0" borderId="77" xfId="25" applyNumberFormat="1" applyFont="1" applyBorder="1" applyAlignment="1">
      <alignment horizontal="center" vertical="center"/>
    </xf>
    <xf numFmtId="168" fontId="5" fillId="0" borderId="78" xfId="25" applyNumberFormat="1" applyFont="1" applyBorder="1" applyAlignment="1">
      <alignment horizontal="center" vertical="center"/>
    </xf>
    <xf numFmtId="0" fontId="5" fillId="7" borderId="79" xfId="16" quotePrefix="1" applyFont="1" applyFill="1" applyBorder="1" applyAlignment="1">
      <alignment horizontal="center"/>
    </xf>
    <xf numFmtId="0" fontId="5" fillId="7" borderId="80" xfId="16" applyFont="1" applyFill="1" applyBorder="1" applyAlignment="1">
      <alignment horizontal="center"/>
    </xf>
    <xf numFmtId="169" fontId="5" fillId="0" borderId="28" xfId="25" applyNumberFormat="1" applyFont="1" applyBorder="1" applyAlignment="1">
      <alignment horizontal="center"/>
    </xf>
    <xf numFmtId="169" fontId="5" fillId="0" borderId="2" xfId="25" applyNumberFormat="1" applyFont="1" applyBorder="1" applyAlignment="1">
      <alignment horizontal="center"/>
    </xf>
    <xf numFmtId="14" fontId="5" fillId="7" borderId="81" xfId="16" quotePrefix="1" applyNumberFormat="1" applyFont="1" applyFill="1" applyBorder="1" applyAlignment="1">
      <alignment horizontal="center"/>
    </xf>
    <xf numFmtId="0" fontId="5" fillId="7" borderId="82" xfId="16" applyFont="1" applyFill="1" applyBorder="1" applyAlignment="1">
      <alignment horizontal="center"/>
    </xf>
    <xf numFmtId="169" fontId="5" fillId="0" borderId="51" xfId="25" applyNumberFormat="1" applyFont="1" applyBorder="1" applyAlignment="1">
      <alignment horizontal="center"/>
    </xf>
    <xf numFmtId="169" fontId="5" fillId="0" borderId="45" xfId="25" applyNumberFormat="1" applyFont="1" applyBorder="1" applyAlignment="1">
      <alignment horizontal="center"/>
    </xf>
    <xf numFmtId="49" fontId="5" fillId="7" borderId="73" xfId="25" applyNumberFormat="1" applyFont="1" applyFill="1" applyBorder="1" applyAlignment="1">
      <alignment horizontal="center" vertical="center"/>
    </xf>
    <xf numFmtId="49" fontId="5" fillId="7" borderId="74" xfId="25" applyNumberFormat="1" applyFont="1" applyFill="1" applyBorder="1" applyAlignment="1">
      <alignment horizontal="center" vertical="center"/>
    </xf>
    <xf numFmtId="168" fontId="5" fillId="0" borderId="69" xfId="25" applyNumberFormat="1" applyFont="1" applyBorder="1" applyAlignment="1">
      <alignment horizontal="center" vertical="center"/>
    </xf>
    <xf numFmtId="168" fontId="5" fillId="0" borderId="68" xfId="25" applyNumberFormat="1" applyFont="1" applyBorder="1" applyAlignment="1">
      <alignment horizontal="center" vertical="center"/>
    </xf>
    <xf numFmtId="49" fontId="5" fillId="7" borderId="67" xfId="25" applyNumberFormat="1" applyFont="1" applyFill="1" applyBorder="1" applyAlignment="1">
      <alignment horizontal="center" vertical="center"/>
    </xf>
    <xf numFmtId="49" fontId="5" fillId="7" borderId="68" xfId="25" applyNumberFormat="1" applyFont="1" applyFill="1" applyBorder="1" applyAlignment="1">
      <alignment horizontal="center" vertical="center"/>
    </xf>
    <xf numFmtId="17" fontId="12" fillId="0" borderId="72" xfId="0" applyNumberFormat="1" applyFont="1" applyBorder="1" applyAlignment="1">
      <alignment horizontal="center" vertical="center"/>
    </xf>
    <xf numFmtId="0" fontId="5" fillId="0" borderId="86" xfId="25" applyFont="1" applyBorder="1" applyAlignment="1">
      <alignment vertical="center"/>
    </xf>
    <xf numFmtId="0" fontId="5" fillId="0" borderId="83" xfId="25" applyFont="1" applyBorder="1" applyAlignment="1">
      <alignment vertical="center"/>
    </xf>
    <xf numFmtId="0" fontId="6" fillId="5" borderId="4" xfId="25" applyFont="1" applyFill="1" applyBorder="1" applyAlignment="1">
      <alignment horizontal="center" vertical="center" wrapText="1"/>
    </xf>
    <xf numFmtId="0" fontId="6" fillId="5" borderId="2" xfId="25" applyFont="1" applyFill="1" applyBorder="1" applyAlignment="1">
      <alignment horizontal="center" vertical="center" wrapText="1"/>
    </xf>
    <xf numFmtId="0" fontId="0" fillId="0" borderId="49" xfId="0" applyBorder="1"/>
    <xf numFmtId="0" fontId="6" fillId="5" borderId="3" xfId="25" applyFont="1" applyFill="1" applyBorder="1" applyAlignment="1">
      <alignment horizontal="center" vertical="center" wrapText="1"/>
    </xf>
    <xf numFmtId="0" fontId="5" fillId="0" borderId="52" xfId="25" applyFont="1" applyBorder="1" applyAlignment="1">
      <alignment vertical="center"/>
    </xf>
    <xf numFmtId="0" fontId="5" fillId="0" borderId="34" xfId="25" applyFont="1" applyBorder="1" applyAlignment="1">
      <alignment vertical="center"/>
    </xf>
    <xf numFmtId="0" fontId="6" fillId="6" borderId="4" xfId="25" applyFont="1" applyFill="1" applyBorder="1" applyAlignment="1">
      <alignment horizontal="center" vertical="center"/>
    </xf>
    <xf numFmtId="0" fontId="6" fillId="6" borderId="2" xfId="25" applyFont="1" applyFill="1" applyBorder="1" applyAlignment="1">
      <alignment horizontal="center" vertical="center"/>
    </xf>
    <xf numFmtId="0" fontId="6" fillId="6" borderId="49" xfId="25" applyFont="1" applyFill="1" applyBorder="1" applyAlignment="1">
      <alignment horizontal="center" vertical="center"/>
    </xf>
    <xf numFmtId="0" fontId="6" fillId="0" borderId="4" xfId="25" applyFont="1" applyBorder="1" applyAlignment="1">
      <alignment horizontal="center" vertical="center"/>
    </xf>
    <xf numFmtId="0" fontId="6" fillId="0" borderId="2" xfId="25" applyFont="1" applyBorder="1" applyAlignment="1">
      <alignment horizontal="center" vertical="center"/>
    </xf>
    <xf numFmtId="0" fontId="6" fillId="0" borderId="49" xfId="25" applyFont="1" applyBorder="1" applyAlignment="1">
      <alignment horizontal="center" vertical="center"/>
    </xf>
    <xf numFmtId="0" fontId="5" fillId="5" borderId="47" xfId="25" applyFont="1" applyFill="1" applyBorder="1" applyAlignment="1">
      <alignment horizontal="center" vertical="center"/>
    </xf>
    <xf numFmtId="0" fontId="5" fillId="6" borderId="22" xfId="25" applyFont="1" applyFill="1" applyBorder="1" applyAlignment="1">
      <alignment horizontal="center" vertical="center" wrapText="1"/>
    </xf>
    <xf numFmtId="0" fontId="5" fillId="6" borderId="47" xfId="25" applyFont="1" applyFill="1" applyBorder="1" applyAlignment="1">
      <alignment horizontal="center" vertical="center" wrapText="1"/>
    </xf>
    <xf numFmtId="0" fontId="5" fillId="6" borderId="48" xfId="25" applyFont="1" applyFill="1" applyBorder="1" applyAlignment="1">
      <alignment horizontal="center" vertical="center" wrapText="1"/>
    </xf>
    <xf numFmtId="0" fontId="5" fillId="2" borderId="3" xfId="25" quotePrefix="1" applyFont="1" applyFill="1" applyBorder="1" applyAlignment="1">
      <alignment horizontal="center" vertical="center"/>
    </xf>
    <xf numFmtId="49" fontId="5" fillId="7" borderId="87" xfId="25" applyNumberFormat="1" applyFont="1" applyFill="1" applyBorder="1" applyAlignment="1">
      <alignment horizontal="center" vertical="center"/>
    </xf>
    <xf numFmtId="49" fontId="5" fillId="7" borderId="88" xfId="25" applyNumberFormat="1" applyFont="1" applyFill="1" applyBorder="1" applyAlignment="1">
      <alignment horizontal="center" vertical="center"/>
    </xf>
    <xf numFmtId="0" fontId="5" fillId="2" borderId="46" xfId="25" quotePrefix="1" applyFont="1" applyFill="1" applyBorder="1" applyAlignment="1">
      <alignment horizontal="center" vertical="center"/>
    </xf>
    <xf numFmtId="0" fontId="5" fillId="2" borderId="44" xfId="25" quotePrefix="1" applyFont="1" applyFill="1" applyBorder="1" applyAlignment="1">
      <alignment horizontal="center" vertical="center"/>
    </xf>
    <xf numFmtId="168" fontId="5" fillId="0" borderId="77" xfId="25" applyNumberFormat="1" applyFont="1" applyBorder="1" applyAlignment="1">
      <alignment horizontal="right" vertical="center"/>
    </xf>
    <xf numFmtId="168" fontId="5" fillId="0" borderId="89" xfId="25" applyNumberFormat="1" applyFont="1" applyBorder="1" applyAlignment="1">
      <alignment horizontal="right" vertical="center"/>
    </xf>
    <xf numFmtId="0" fontId="5" fillId="0" borderId="46" xfId="25" applyFont="1" applyBorder="1" applyAlignment="1">
      <alignment vertical="center"/>
    </xf>
    <xf numFmtId="0" fontId="5" fillId="0" borderId="55" xfId="25" applyFont="1" applyBorder="1" applyAlignment="1">
      <alignment vertical="center"/>
    </xf>
    <xf numFmtId="0" fontId="5" fillId="2" borderId="49" xfId="25" quotePrefix="1" applyFont="1" applyFill="1" applyBorder="1" applyAlignment="1">
      <alignment horizontal="center" vertical="center"/>
    </xf>
    <xf numFmtId="0" fontId="5" fillId="2" borderId="4" xfId="25" quotePrefix="1" applyFont="1" applyFill="1" applyBorder="1" applyAlignment="1">
      <alignment horizontal="center" vertical="center"/>
    </xf>
    <xf numFmtId="168" fontId="5" fillId="0" borderId="84" xfId="25" applyNumberFormat="1" applyFont="1" applyBorder="1" applyAlignment="1">
      <alignment horizontal="right" vertical="center"/>
    </xf>
    <xf numFmtId="168" fontId="5" fillId="0" borderId="85" xfId="25" applyNumberFormat="1" applyFont="1" applyBorder="1" applyAlignment="1">
      <alignment horizontal="right" vertical="center"/>
    </xf>
    <xf numFmtId="168" fontId="5" fillId="0" borderId="75" xfId="25" applyNumberFormat="1" applyFont="1" applyBorder="1" applyAlignment="1">
      <alignment horizontal="right" vertical="center"/>
    </xf>
    <xf numFmtId="168" fontId="5" fillId="0" borderId="76" xfId="25" applyNumberFormat="1" applyFont="1" applyBorder="1" applyAlignment="1">
      <alignment horizontal="right" vertical="center"/>
    </xf>
    <xf numFmtId="49" fontId="5" fillId="2" borderId="48" xfId="25" quotePrefix="1" applyNumberFormat="1" applyFont="1" applyFill="1" applyBorder="1" applyAlignment="1">
      <alignment horizontal="center" vertical="center"/>
    </xf>
    <xf numFmtId="49" fontId="5" fillId="2" borderId="18" xfId="25" quotePrefix="1" applyNumberFormat="1" applyFont="1" applyFill="1" applyBorder="1" applyAlignment="1">
      <alignment horizontal="center" vertical="center"/>
    </xf>
    <xf numFmtId="0" fontId="5" fillId="2" borderId="18" xfId="25" quotePrefix="1" applyFont="1" applyFill="1" applyBorder="1" applyAlignment="1">
      <alignment horizontal="center" vertical="center"/>
    </xf>
    <xf numFmtId="0" fontId="5" fillId="2" borderId="57" xfId="25" quotePrefix="1" applyFont="1" applyFill="1" applyBorder="1" applyAlignment="1">
      <alignment horizontal="center" vertical="center"/>
    </xf>
    <xf numFmtId="0" fontId="5" fillId="5" borderId="28" xfId="25" applyFont="1" applyFill="1" applyBorder="1" applyAlignment="1">
      <alignment horizontal="center" vertical="center"/>
    </xf>
    <xf numFmtId="0" fontId="5" fillId="5" borderId="49" xfId="25" applyFont="1" applyFill="1" applyBorder="1" applyAlignment="1">
      <alignment horizontal="center" vertical="center"/>
    </xf>
    <xf numFmtId="0" fontId="5" fillId="5" borderId="52" xfId="25" applyFont="1" applyFill="1" applyBorder="1" applyAlignment="1">
      <alignment horizontal="center" vertical="center" wrapText="1"/>
    </xf>
    <xf numFmtId="0" fontId="5" fillId="5" borderId="48" xfId="25" applyFont="1" applyFill="1" applyBorder="1" applyAlignment="1">
      <alignment horizontal="center" vertical="center" wrapText="1"/>
    </xf>
    <xf numFmtId="0" fontId="5" fillId="0" borderId="90" xfId="25" applyFont="1" applyBorder="1" applyAlignment="1">
      <alignment vertical="center"/>
    </xf>
    <xf numFmtId="0" fontId="5" fillId="2" borderId="90" xfId="25" quotePrefix="1" applyFont="1" applyFill="1" applyBorder="1" applyAlignment="1">
      <alignment horizontal="center" vertical="center"/>
    </xf>
    <xf numFmtId="0" fontId="5" fillId="0" borderId="91" xfId="25" applyFont="1" applyBorder="1" applyAlignment="1">
      <alignment vertical="center"/>
    </xf>
    <xf numFmtId="0" fontId="1" fillId="0" borderId="3" xfId="14" applyBorder="1" applyAlignment="1">
      <alignment horizontal="left"/>
    </xf>
    <xf numFmtId="14" fontId="1" fillId="0" borderId="3" xfId="14" quotePrefix="1" applyNumberFormat="1" applyBorder="1" applyAlignment="1">
      <alignment horizontal="left"/>
    </xf>
    <xf numFmtId="0" fontId="1" fillId="2" borderId="3" xfId="14" applyFill="1" applyBorder="1" applyAlignment="1">
      <alignment horizontal="left"/>
    </xf>
    <xf numFmtId="0" fontId="15" fillId="0" borderId="3" xfId="14" applyFont="1" applyBorder="1" applyAlignment="1">
      <alignment horizontal="left"/>
    </xf>
    <xf numFmtId="0" fontId="1" fillId="0" borderId="4" xfId="14" applyBorder="1" applyAlignment="1">
      <alignment horizontal="left"/>
    </xf>
    <xf numFmtId="0" fontId="1" fillId="0" borderId="2" xfId="14" applyBorder="1" applyAlignment="1">
      <alignment horizontal="left"/>
    </xf>
    <xf numFmtId="0" fontId="1" fillId="0" borderId="49" xfId="14" applyBorder="1" applyAlignment="1">
      <alignment horizontal="left"/>
    </xf>
    <xf numFmtId="0" fontId="15" fillId="2" borderId="4" xfId="14" applyFont="1" applyFill="1" applyBorder="1" applyAlignment="1">
      <alignment horizontal="center" vertical="center"/>
    </xf>
    <xf numFmtId="0" fontId="15" fillId="2" borderId="2" xfId="14" applyFont="1" applyFill="1" applyBorder="1" applyAlignment="1">
      <alignment horizontal="center" vertical="center"/>
    </xf>
    <xf numFmtId="0" fontId="15" fillId="2" borderId="49" xfId="14" applyFont="1" applyFill="1" applyBorder="1" applyAlignment="1">
      <alignment horizontal="center" vertical="center"/>
    </xf>
    <xf numFmtId="0" fontId="27" fillId="0" borderId="41" xfId="15" applyFont="1" applyBorder="1" applyAlignment="1">
      <alignment horizontal="center"/>
    </xf>
    <xf numFmtId="0" fontId="27" fillId="0" borderId="42" xfId="15" applyFont="1" applyBorder="1" applyAlignment="1">
      <alignment horizontal="center"/>
    </xf>
    <xf numFmtId="0" fontId="27" fillId="0" borderId="43" xfId="15" applyFont="1" applyBorder="1" applyAlignment="1">
      <alignment horizontal="center"/>
    </xf>
    <xf numFmtId="0" fontId="23" fillId="8" borderId="92" xfId="15" applyFont="1" applyFill="1" applyBorder="1"/>
    <xf numFmtId="0" fontId="23" fillId="8" borderId="93" xfId="15" applyFont="1" applyFill="1" applyBorder="1"/>
    <xf numFmtId="0" fontId="23" fillId="8" borderId="94" xfId="15" applyFont="1" applyFill="1" applyBorder="1"/>
    <xf numFmtId="0" fontId="27" fillId="7" borderId="95" xfId="15" applyFont="1" applyFill="1" applyBorder="1" applyAlignment="1">
      <alignment horizontal="center"/>
    </xf>
    <xf numFmtId="0" fontId="27" fillId="7" borderId="6" xfId="15" applyFont="1" applyFill="1" applyBorder="1" applyAlignment="1">
      <alignment horizontal="center"/>
    </xf>
    <xf numFmtId="0" fontId="27" fillId="7" borderId="96" xfId="15" applyFont="1" applyFill="1" applyBorder="1" applyAlignment="1">
      <alignment horizontal="center"/>
    </xf>
    <xf numFmtId="0" fontId="27" fillId="0" borderId="39" xfId="15" applyFont="1" applyBorder="1" applyAlignment="1">
      <alignment horizontal="center"/>
    </xf>
    <xf numFmtId="0" fontId="27" fillId="0" borderId="2" xfId="15" applyFont="1" applyBorder="1" applyAlignment="1">
      <alignment horizontal="center"/>
    </xf>
    <xf numFmtId="0" fontId="27" fillId="0" borderId="40" xfId="15" applyFont="1" applyBorder="1" applyAlignment="1">
      <alignment horizontal="center"/>
    </xf>
    <xf numFmtId="0" fontId="27" fillId="7" borderId="97" xfId="15" applyFont="1" applyFill="1" applyBorder="1" applyAlignment="1">
      <alignment horizontal="center"/>
    </xf>
    <xf numFmtId="0" fontId="27" fillId="7" borderId="98" xfId="15" applyFont="1" applyFill="1" applyBorder="1" applyAlignment="1">
      <alignment horizontal="center"/>
    </xf>
    <xf numFmtId="0" fontId="27" fillId="7" borderId="99" xfId="15" applyFont="1" applyFill="1" applyBorder="1" applyAlignment="1">
      <alignment horizontal="center"/>
    </xf>
    <xf numFmtId="0" fontId="23" fillId="0" borderId="100" xfId="15" applyFont="1" applyBorder="1" applyAlignment="1">
      <alignment horizontal="left"/>
    </xf>
    <xf numFmtId="0" fontId="23" fillId="0" borderId="101" xfId="15" applyFont="1" applyBorder="1" applyAlignment="1">
      <alignment horizontal="left"/>
    </xf>
    <xf numFmtId="0" fontId="23" fillId="0" borderId="102" xfId="15" applyFont="1" applyBorder="1" applyAlignment="1">
      <alignment horizontal="left"/>
    </xf>
    <xf numFmtId="0" fontId="23" fillId="0" borderId="35" xfId="15" applyFont="1" applyBorder="1" applyAlignment="1">
      <alignment horizontal="left"/>
    </xf>
    <xf numFmtId="0" fontId="0" fillId="0" borderId="0" xfId="0"/>
    <xf numFmtId="0" fontId="0" fillId="0" borderId="36" xfId="0" applyBorder="1"/>
    <xf numFmtId="0" fontId="23" fillId="0" borderId="37" xfId="15" applyFont="1" applyBorder="1" applyAlignment="1">
      <alignment horizontal="left"/>
    </xf>
    <xf numFmtId="0" fontId="0" fillId="0" borderId="7" xfId="0" applyBorder="1"/>
    <xf numFmtId="0" fontId="0" fillId="0" borderId="38" xfId="0" applyBorder="1"/>
    <xf numFmtId="0" fontId="23" fillId="0" borderId="0" xfId="15" applyFont="1" applyAlignment="1">
      <alignment horizontal="left"/>
    </xf>
    <xf numFmtId="0" fontId="23" fillId="0" borderId="36" xfId="15" applyFont="1" applyBorder="1" applyAlignment="1">
      <alignment horizontal="left"/>
    </xf>
    <xf numFmtId="0" fontId="23" fillId="0" borderId="7" xfId="15" applyFont="1" applyBorder="1" applyAlignment="1">
      <alignment horizontal="left"/>
    </xf>
    <xf numFmtId="0" fontId="23" fillId="0" borderId="38" xfId="15" applyFont="1" applyBorder="1" applyAlignment="1">
      <alignment horizontal="left"/>
    </xf>
    <xf numFmtId="49" fontId="5" fillId="7" borderId="81" xfId="16" applyNumberFormat="1" applyFont="1" applyFill="1" applyBorder="1" applyAlignment="1">
      <alignment horizontal="center"/>
    </xf>
    <xf numFmtId="49" fontId="5" fillId="7" borderId="82" xfId="16" applyNumberFormat="1" applyFont="1" applyFill="1" applyBorder="1" applyAlignment="1">
      <alignment horizontal="center"/>
    </xf>
    <xf numFmtId="49" fontId="5" fillId="7" borderId="79" xfId="16" applyNumberFormat="1" applyFont="1" applyFill="1" applyBorder="1" applyAlignment="1">
      <alignment horizontal="center"/>
    </xf>
    <xf numFmtId="49" fontId="5" fillId="7" borderId="80" xfId="16" applyNumberFormat="1" applyFont="1" applyFill="1" applyBorder="1" applyAlignment="1">
      <alignment horizontal="center"/>
    </xf>
  </cellXfs>
  <cellStyles count="31">
    <cellStyle name="Comma" xfId="1" builtinId="3"/>
    <cellStyle name="Grey" xfId="2" xr:uid="{00000000-0005-0000-0000-000001000000}"/>
    <cellStyle name="Header1" xfId="3" xr:uid="{00000000-0005-0000-0000-000002000000}"/>
    <cellStyle name="Header2" xfId="4" xr:uid="{00000000-0005-0000-0000-000003000000}"/>
    <cellStyle name="IBM(401K)" xfId="5" xr:uid="{00000000-0005-0000-0000-000004000000}"/>
    <cellStyle name="Input [yellow]" xfId="6" xr:uid="{00000000-0005-0000-0000-000005000000}"/>
    <cellStyle name="J401K" xfId="7" xr:uid="{00000000-0005-0000-0000-000006000000}"/>
    <cellStyle name="Milliers [0]_AR1194" xfId="8" xr:uid="{00000000-0005-0000-0000-000007000000}"/>
    <cellStyle name="Milliers_AR1194" xfId="9" xr:uid="{00000000-0005-0000-0000-000008000000}"/>
    <cellStyle name="Mon騁aire [0]_AR1194" xfId="10" xr:uid="{00000000-0005-0000-0000-000009000000}"/>
    <cellStyle name="Mon騁aire_AR1194" xfId="11" xr:uid="{00000000-0005-0000-0000-00000A000000}"/>
    <cellStyle name="Normal" xfId="0" builtinId="0"/>
    <cellStyle name="Normal - Style1" xfId="12" xr:uid="{00000000-0005-0000-0000-00000C000000}"/>
    <cellStyle name="Normal_04 TMAP Management Standard_Template Usage Guideline" xfId="13" xr:uid="{00000000-0005-0000-0000-00000D000000}"/>
    <cellStyle name="Normal_Business Flow_X.X_SSSS" xfId="14" xr:uid="{00000000-0005-0000-0000-00000E000000}"/>
    <cellStyle name="Normal_Development_Methodology_STM" xfId="15" xr:uid="{00000000-0005-0000-0000-00000F000000}"/>
    <cellStyle name="Normal_Progress_UISS_LPCS_20041015" xfId="16" xr:uid="{00000000-0005-0000-0000-000010000000}"/>
    <cellStyle name="Normal_UI-13.01FinanceEntry" xfId="17" xr:uid="{00000000-0005-0000-0000-000011000000}"/>
    <cellStyle name="Normal_業務FW利用ガイド（EJB編）V1.0.4" xfId="18" xr:uid="{00000000-0005-0000-0000-000012000000}"/>
    <cellStyle name="Percent [2]" xfId="19" xr:uid="{00000000-0005-0000-0000-000013000000}"/>
    <cellStyle name="センター" xfId="21" xr:uid="{00000000-0005-0000-0000-000014000000}"/>
    <cellStyle name="ハイパーリンク" xfId="22" xr:uid="{00000000-0005-0000-0000-000015000000}"/>
    <cellStyle name="ปกติ_Business_Flow_LPCS_0.3_20040721" xfId="20" xr:uid="{00000000-0005-0000-0000-000016000000}"/>
    <cellStyle name="未定義" xfId="23" xr:uid="{00000000-0005-0000-0000-000017000000}"/>
    <cellStyle name="標準_01. ScreenSpecification" xfId="24" xr:uid="{00000000-0005-0000-0000-000018000000}"/>
    <cellStyle name="標準_Book1" xfId="25" xr:uid="{00000000-0005-0000-0000-000019000000}"/>
    <cellStyle name="標準_GPPS進捗管理（内設）20030411" xfId="26" xr:uid="{00000000-0005-0000-0000-00001A000000}"/>
    <cellStyle name="標準_ドキュメント記入要領（外部設計）" xfId="27" xr:uid="{00000000-0005-0000-0000-00001B000000}"/>
    <cellStyle name="標準_ドキュメント記入要領（外部設計）_業務FW利用ガイドV1.0_050317_業務FW利用ガイドV1.0_050325" xfId="28" xr:uid="{00000000-0005-0000-0000-00001C000000}"/>
    <cellStyle name="標準_ドキュメント記入要領（外部設計）_業務FW利用ガイドV1.0_050321" xfId="29" xr:uid="{00000000-0005-0000-0000-00001D000000}"/>
    <cellStyle name="表示済みのハイパーリンク" xfId="30" xr:uid="{00000000-0005-0000-0000-00001E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spPr>
            <a:solidFill>
              <a:srgbClr val="FFFFFF"/>
            </a:solidFill>
            <a:ln w="12700">
              <a:solidFill>
                <a:srgbClr val="000000"/>
              </a:solidFill>
              <a:prstDash val="solid"/>
            </a:ln>
          </c:spPr>
          <c:invertIfNegative val="0"/>
          <c:dLbls>
            <c:spPr>
              <a:noFill/>
              <a:ln w="25400">
                <a:noFill/>
              </a:ln>
            </c:spPr>
            <c:txPr>
              <a:bodyPr/>
              <a:lstStyle/>
              <a:p>
                <a:pPr>
                  <a:defRPr sz="1100" b="0" i="0" u="none" strike="noStrike" baseline="0">
                    <a:solidFill>
                      <a:srgbClr val="000000"/>
                    </a:solidFill>
                    <a:latin typeface="ＭＳ Ｐ明朝"/>
                    <a:ea typeface="ＭＳ Ｐ明朝"/>
                    <a:cs typeface="ＭＳ Ｐ明朝"/>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'Weekly Report'!#REF!</c:f>
              <c:numCache>
                <c:formatCode>General</c:formatCode>
                <c:ptCount val="1"/>
                <c:pt idx="0">
                  <c:v>1</c:v>
                </c:pt>
              </c:numCache>
            </c:numRef>
          </c:val>
          <c:extLst>
            <c:ext xmlns:c16="http://schemas.microsoft.com/office/drawing/2014/chart" uri="{C3380CC4-5D6E-409C-BE32-E72D297353CC}">
              <c16:uniqueId val="{00000000-4FEF-42F2-A143-F02B05B2D24F}"/>
            </c:ext>
          </c:extLst>
        </c:ser>
        <c:ser>
          <c:idx val="3"/>
          <c:order val="1"/>
          <c:spPr>
            <a:pattFill prst="pct50">
              <a:fgClr>
                <a:srgbClr val="FFFFFF"/>
              </a:fgClr>
              <a:bgClr>
                <a:srgbClr val="000000"/>
              </a:bgClr>
            </a:pattFill>
            <a:ln w="12700">
              <a:solidFill>
                <a:srgbClr val="000000"/>
              </a:solidFill>
              <a:prstDash val="solid"/>
            </a:ln>
          </c:spPr>
          <c:invertIfNegative val="0"/>
          <c:val>
            <c:numRef>
              <c:f>'Weekly Report'!#REF!</c:f>
              <c:numCache>
                <c:formatCode>General</c:formatCode>
                <c:ptCount val="1"/>
                <c:pt idx="0">
                  <c:v>1</c:v>
                </c:pt>
              </c:numCache>
            </c:numRef>
          </c:val>
          <c:extLst>
            <c:ext xmlns:c16="http://schemas.microsoft.com/office/drawing/2014/chart" uri="{C3380CC4-5D6E-409C-BE32-E72D297353CC}">
              <c16:uniqueId val="{00000001-4FEF-42F2-A143-F02B05B2D24F}"/>
            </c:ext>
          </c:extLst>
        </c:ser>
        <c:ser>
          <c:idx val="0"/>
          <c:order val="2"/>
          <c:spPr>
            <a:solidFill>
              <a:srgbClr val="9999FF"/>
            </a:solidFill>
            <a:ln w="12700">
              <a:solidFill>
                <a:srgbClr val="000000"/>
              </a:solidFill>
              <a:prstDash val="sysDash"/>
            </a:ln>
          </c:spPr>
          <c:invertIfNegative val="0"/>
          <c:dLbls>
            <c:spPr>
              <a:noFill/>
              <a:ln w="25400">
                <a:noFill/>
              </a:ln>
            </c:spPr>
            <c:txPr>
              <a:bodyPr/>
              <a:lstStyle/>
              <a:p>
                <a:pPr>
                  <a:defRPr sz="1100" b="0" i="0" u="none" strike="noStrike" baseline="0">
                    <a:solidFill>
                      <a:srgbClr val="000000"/>
                    </a:solidFill>
                    <a:latin typeface="ＭＳ Ｐ明朝"/>
                    <a:ea typeface="ＭＳ Ｐ明朝"/>
                    <a:cs typeface="ＭＳ Ｐ明朝"/>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'Weekly Report'!#REF!</c:f>
              <c:numCache>
                <c:formatCode>General</c:formatCode>
                <c:ptCount val="1"/>
                <c:pt idx="0">
                  <c:v>1</c:v>
                </c:pt>
              </c:numCache>
            </c:numRef>
          </c:val>
          <c:extLst>
            <c:ext xmlns:c16="http://schemas.microsoft.com/office/drawing/2014/chart" uri="{C3380CC4-5D6E-409C-BE32-E72D297353CC}">
              <c16:uniqueId val="{00000002-4FEF-42F2-A143-F02B05B2D24F}"/>
            </c:ext>
          </c:extLst>
        </c:ser>
        <c:dLbls>
          <c:showLegendKey val="0"/>
          <c:showVal val="0"/>
          <c:showCatName val="0"/>
          <c:showSerName val="0"/>
          <c:showPercent val="0"/>
          <c:showBubbleSize val="0"/>
        </c:dLbls>
        <c:gapWidth val="150"/>
        <c:axId val="102118144"/>
        <c:axId val="102120064"/>
      </c:barChart>
      <c:lineChart>
        <c:grouping val="standard"/>
        <c:varyColors val="0"/>
        <c:ser>
          <c:idx val="1"/>
          <c:order val="3"/>
          <c:spPr>
            <a:ln w="12700">
              <a:solidFill>
                <a:srgbClr val="000000"/>
              </a:solidFill>
              <a:prstDash val="solid"/>
            </a:ln>
          </c:spPr>
          <c:marker>
            <c:symbol val="square"/>
            <c:size val="5"/>
            <c:spPr>
              <a:solidFill>
                <a:srgbClr val="000000"/>
              </a:solidFill>
              <a:ln>
                <a:solidFill>
                  <a:srgbClr val="000000"/>
                </a:solidFill>
                <a:prstDash val="solid"/>
              </a:ln>
            </c:spPr>
          </c:marker>
          <c:val>
            <c:numRef>
              <c:f>'Weekly Report'!#REF!</c:f>
              <c:numCache>
                <c:formatCode>General</c:formatCode>
                <c:ptCount val="1"/>
                <c:pt idx="0">
                  <c:v>1</c:v>
                </c:pt>
              </c:numCache>
            </c:numRef>
          </c:val>
          <c:smooth val="0"/>
          <c:extLst>
            <c:ext xmlns:c16="http://schemas.microsoft.com/office/drawing/2014/chart" uri="{C3380CC4-5D6E-409C-BE32-E72D297353CC}">
              <c16:uniqueId val="{00000003-4FEF-42F2-A143-F02B05B2D24F}"/>
            </c:ext>
          </c:extLst>
        </c:ser>
        <c:ser>
          <c:idx val="4"/>
          <c:order val="4"/>
          <c:spPr>
            <a:ln w="12700">
              <a:solidFill>
                <a:srgbClr val="800080"/>
              </a:solidFill>
              <a:prstDash val="solid"/>
            </a:ln>
          </c:spPr>
          <c:marker>
            <c:symbol val="star"/>
            <c:size val="5"/>
            <c:spPr>
              <a:noFill/>
              <a:ln>
                <a:solidFill>
                  <a:srgbClr val="800080"/>
                </a:solidFill>
                <a:prstDash val="solid"/>
              </a:ln>
            </c:spPr>
          </c:marker>
          <c:val>
            <c:numRef>
              <c:f>'Weekly Report'!#REF!</c:f>
              <c:numCache>
                <c:formatCode>General</c:formatCode>
                <c:ptCount val="1"/>
                <c:pt idx="0">
                  <c:v>1</c:v>
                </c:pt>
              </c:numCache>
            </c:numRef>
          </c:val>
          <c:smooth val="0"/>
          <c:extLst>
            <c:ext xmlns:c16="http://schemas.microsoft.com/office/drawing/2014/chart" uri="{C3380CC4-5D6E-409C-BE32-E72D297353CC}">
              <c16:uniqueId val="{00000004-4FEF-42F2-A143-F02B05B2D24F}"/>
            </c:ext>
          </c:extLst>
        </c:ser>
        <c:ser>
          <c:idx val="5"/>
          <c:order val="5"/>
          <c:spPr>
            <a:ln w="12700">
              <a:solidFill>
                <a:srgbClr val="800000"/>
              </a:solidFill>
              <a:prstDash val="solid"/>
            </a:ln>
          </c:spPr>
          <c:marker>
            <c:symbol val="circle"/>
            <c:size val="5"/>
            <c:spPr>
              <a:solidFill>
                <a:srgbClr val="800000"/>
              </a:solidFill>
              <a:ln>
                <a:solidFill>
                  <a:srgbClr val="800000"/>
                </a:solidFill>
                <a:prstDash val="solid"/>
              </a:ln>
            </c:spPr>
          </c:marker>
          <c:val>
            <c:numRef>
              <c:f>'Weekly Report'!#REF!</c:f>
              <c:numCache>
                <c:formatCode>General</c:formatCode>
                <c:ptCount val="1"/>
                <c:pt idx="0">
                  <c:v>1</c:v>
                </c:pt>
              </c:numCache>
            </c:numRef>
          </c:val>
          <c:smooth val="0"/>
          <c:extLst>
            <c:ext xmlns:c16="http://schemas.microsoft.com/office/drawing/2014/chart" uri="{C3380CC4-5D6E-409C-BE32-E72D297353CC}">
              <c16:uniqueId val="{00000005-4FEF-42F2-A143-F02B05B2D24F}"/>
            </c:ext>
          </c:extLst>
        </c:ser>
        <c:dLbls>
          <c:showLegendKey val="0"/>
          <c:showVal val="0"/>
          <c:showCatName val="0"/>
          <c:showSerName val="0"/>
          <c:showPercent val="0"/>
          <c:showBubbleSize val="0"/>
        </c:dLbls>
        <c:marker val="1"/>
        <c:smooth val="0"/>
        <c:axId val="102142336"/>
        <c:axId val="102143872"/>
      </c:lineChart>
      <c:catAx>
        <c:axId val="102118144"/>
        <c:scaling>
          <c:orientation val="minMax"/>
        </c:scaling>
        <c:delete val="0"/>
        <c:axPos val="b"/>
        <c:majorTickMark val="in"/>
        <c:minorTickMark val="none"/>
        <c:tickLblPos val="none"/>
        <c:spPr>
          <a:ln w="3175">
            <a:solidFill>
              <a:srgbClr val="000000"/>
            </a:solidFill>
            <a:prstDash val="solid"/>
          </a:ln>
        </c:spPr>
        <c:crossAx val="102120064"/>
        <c:crosses val="autoZero"/>
        <c:auto val="0"/>
        <c:lblAlgn val="ctr"/>
        <c:lblOffset val="100"/>
        <c:tickLblSkip val="10"/>
        <c:tickMarkSkip val="1"/>
        <c:noMultiLvlLbl val="0"/>
      </c:catAx>
      <c:valAx>
        <c:axId val="102120064"/>
        <c:scaling>
          <c:orientation val="minMax"/>
        </c:scaling>
        <c:delete val="0"/>
        <c:axPos val="l"/>
        <c:numFmt formatCode="#,##0_ ;\-#,##0\ "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2118144"/>
        <c:crosses val="autoZero"/>
        <c:crossBetween val="between"/>
      </c:valAx>
      <c:catAx>
        <c:axId val="102142336"/>
        <c:scaling>
          <c:orientation val="minMax"/>
        </c:scaling>
        <c:delete val="1"/>
        <c:axPos val="b"/>
        <c:majorTickMark val="out"/>
        <c:minorTickMark val="none"/>
        <c:tickLblPos val="none"/>
        <c:crossAx val="102143872"/>
        <c:crosses val="autoZero"/>
        <c:auto val="0"/>
        <c:lblAlgn val="ctr"/>
        <c:lblOffset val="100"/>
        <c:noMultiLvlLbl val="0"/>
      </c:catAx>
      <c:valAx>
        <c:axId val="102143872"/>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2142336"/>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spPr>
            <a:solidFill>
              <a:srgbClr val="FFFFFF"/>
            </a:solidFill>
            <a:ln w="12700">
              <a:solidFill>
                <a:srgbClr val="000000"/>
              </a:solidFill>
              <a:prstDash val="solid"/>
            </a:ln>
          </c:spPr>
          <c:invertIfNegative val="0"/>
          <c:val>
            <c:numRef>
              <c:f>'Weekly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0-C57F-4E35-8AB4-235D634C22DB}"/>
            </c:ext>
          </c:extLst>
        </c:ser>
        <c:ser>
          <c:idx val="3"/>
          <c:order val="1"/>
          <c:spPr>
            <a:pattFill prst="pct50">
              <a:fgClr>
                <a:srgbClr val="FFFFFF"/>
              </a:fgClr>
              <a:bgClr>
                <a:srgbClr val="000000"/>
              </a:bgClr>
            </a:pattFill>
            <a:ln w="12700">
              <a:solidFill>
                <a:srgbClr val="000000"/>
              </a:solidFill>
              <a:prstDash val="solid"/>
            </a:ln>
          </c:spPr>
          <c:invertIfNegative val="0"/>
          <c:val>
            <c:numRef>
              <c:f>'Weekly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1-C57F-4E35-8AB4-235D634C22DB}"/>
            </c:ext>
          </c:extLst>
        </c:ser>
        <c:dLbls>
          <c:showLegendKey val="0"/>
          <c:showVal val="0"/>
          <c:showCatName val="0"/>
          <c:showSerName val="0"/>
          <c:showPercent val="0"/>
          <c:showBubbleSize val="0"/>
        </c:dLbls>
        <c:gapWidth val="150"/>
        <c:axId val="102236544"/>
        <c:axId val="102238464"/>
      </c:barChart>
      <c:lineChart>
        <c:grouping val="standard"/>
        <c:varyColors val="0"/>
        <c:ser>
          <c:idx val="0"/>
          <c:order val="2"/>
          <c:spPr>
            <a:ln w="12700">
              <a:solidFill>
                <a:srgbClr val="000000"/>
              </a:solidFill>
              <a:prstDash val="sysDash"/>
            </a:ln>
          </c:spPr>
          <c:marker>
            <c:symbol val="diamond"/>
            <c:size val="5"/>
            <c:spPr>
              <a:solidFill>
                <a:srgbClr val="FFFFFF"/>
              </a:solidFill>
              <a:ln>
                <a:solidFill>
                  <a:srgbClr val="000000"/>
                </a:solidFill>
                <a:prstDash val="solid"/>
              </a:ln>
            </c:spPr>
          </c:marker>
          <c:val>
            <c:numRef>
              <c:f>'Weekly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2-C57F-4E35-8AB4-235D634C22DB}"/>
            </c:ext>
          </c:extLst>
        </c:ser>
        <c:ser>
          <c:idx val="1"/>
          <c:order val="3"/>
          <c:spPr>
            <a:ln w="12700">
              <a:solidFill>
                <a:srgbClr val="000000"/>
              </a:solidFill>
              <a:prstDash val="solid"/>
            </a:ln>
          </c:spPr>
          <c:marker>
            <c:symbol val="square"/>
            <c:size val="5"/>
            <c:spPr>
              <a:solidFill>
                <a:srgbClr val="000000"/>
              </a:solidFill>
              <a:ln>
                <a:solidFill>
                  <a:srgbClr val="000000"/>
                </a:solidFill>
                <a:prstDash val="solid"/>
              </a:ln>
            </c:spPr>
          </c:marker>
          <c:val>
            <c:numRef>
              <c:f>'Weekly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3-C57F-4E35-8AB4-235D634C22DB}"/>
            </c:ext>
          </c:extLst>
        </c:ser>
        <c:dLbls>
          <c:showLegendKey val="0"/>
          <c:showVal val="0"/>
          <c:showCatName val="0"/>
          <c:showSerName val="0"/>
          <c:showPercent val="0"/>
          <c:showBubbleSize val="0"/>
        </c:dLbls>
        <c:marker val="1"/>
        <c:smooth val="0"/>
        <c:axId val="102244352"/>
        <c:axId val="102245888"/>
      </c:lineChart>
      <c:catAx>
        <c:axId val="102236544"/>
        <c:scaling>
          <c:orientation val="minMax"/>
        </c:scaling>
        <c:delete val="0"/>
        <c:axPos val="b"/>
        <c:majorTickMark val="in"/>
        <c:minorTickMark val="none"/>
        <c:tickLblPos val="none"/>
        <c:spPr>
          <a:ln w="3175">
            <a:solidFill>
              <a:srgbClr val="000000"/>
            </a:solidFill>
            <a:prstDash val="solid"/>
          </a:ln>
        </c:spPr>
        <c:crossAx val="102238464"/>
        <c:crosses val="autoZero"/>
        <c:auto val="0"/>
        <c:lblAlgn val="ctr"/>
        <c:lblOffset val="100"/>
        <c:tickMarkSkip val="1"/>
        <c:noMultiLvlLbl val="0"/>
      </c:catAx>
      <c:valAx>
        <c:axId val="102238464"/>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2236544"/>
        <c:crosses val="autoZero"/>
        <c:crossBetween val="between"/>
        <c:majorUnit val="500"/>
      </c:valAx>
      <c:catAx>
        <c:axId val="102244352"/>
        <c:scaling>
          <c:orientation val="minMax"/>
        </c:scaling>
        <c:delete val="1"/>
        <c:axPos val="b"/>
        <c:majorTickMark val="out"/>
        <c:minorTickMark val="none"/>
        <c:tickLblPos val="none"/>
        <c:crossAx val="102245888"/>
        <c:crosses val="autoZero"/>
        <c:auto val="0"/>
        <c:lblAlgn val="ctr"/>
        <c:lblOffset val="100"/>
        <c:noMultiLvlLbl val="0"/>
      </c:catAx>
      <c:valAx>
        <c:axId val="102245888"/>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2244352"/>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spPr>
            <a:solidFill>
              <a:srgbClr val="FFFFFF"/>
            </a:solidFill>
            <a:ln w="12700">
              <a:solidFill>
                <a:srgbClr val="000000"/>
              </a:solidFill>
              <a:prstDash val="solid"/>
            </a:ln>
          </c:spPr>
          <c:invertIfNegative val="0"/>
          <c:val>
            <c:numRef>
              <c:f>'Weekly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0-09B9-49BF-9948-E3DE81A9E48D}"/>
            </c:ext>
          </c:extLst>
        </c:ser>
        <c:ser>
          <c:idx val="3"/>
          <c:order val="1"/>
          <c:spPr>
            <a:pattFill prst="pct50">
              <a:fgClr>
                <a:srgbClr val="FFFFFF"/>
              </a:fgClr>
              <a:bgClr>
                <a:srgbClr val="000000"/>
              </a:bgClr>
            </a:pattFill>
            <a:ln w="12700">
              <a:solidFill>
                <a:srgbClr val="000000"/>
              </a:solidFill>
              <a:prstDash val="solid"/>
            </a:ln>
          </c:spPr>
          <c:invertIfNegative val="0"/>
          <c:val>
            <c:numRef>
              <c:f>'Weekly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1-09B9-49BF-9948-E3DE81A9E48D}"/>
            </c:ext>
          </c:extLst>
        </c:ser>
        <c:dLbls>
          <c:showLegendKey val="0"/>
          <c:showVal val="0"/>
          <c:showCatName val="0"/>
          <c:showSerName val="0"/>
          <c:showPercent val="0"/>
          <c:showBubbleSize val="0"/>
        </c:dLbls>
        <c:gapWidth val="150"/>
        <c:axId val="102277120"/>
        <c:axId val="102279040"/>
      </c:barChart>
      <c:lineChart>
        <c:grouping val="standard"/>
        <c:varyColors val="0"/>
        <c:ser>
          <c:idx val="0"/>
          <c:order val="2"/>
          <c:spPr>
            <a:ln w="12700">
              <a:solidFill>
                <a:srgbClr val="000000"/>
              </a:solidFill>
              <a:prstDash val="sysDash"/>
            </a:ln>
          </c:spPr>
          <c:marker>
            <c:symbol val="diamond"/>
            <c:size val="5"/>
            <c:spPr>
              <a:solidFill>
                <a:srgbClr val="FFFFFF"/>
              </a:solidFill>
              <a:ln>
                <a:solidFill>
                  <a:srgbClr val="000000"/>
                </a:solidFill>
                <a:prstDash val="solid"/>
              </a:ln>
            </c:spPr>
          </c:marker>
          <c:val>
            <c:numRef>
              <c:f>'Weekly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2-09B9-49BF-9948-E3DE81A9E48D}"/>
            </c:ext>
          </c:extLst>
        </c:ser>
        <c:ser>
          <c:idx val="1"/>
          <c:order val="3"/>
          <c:spPr>
            <a:ln w="12700">
              <a:solidFill>
                <a:srgbClr val="000000"/>
              </a:solidFill>
              <a:prstDash val="solid"/>
            </a:ln>
          </c:spPr>
          <c:marker>
            <c:symbol val="square"/>
            <c:size val="5"/>
            <c:spPr>
              <a:solidFill>
                <a:srgbClr val="000000"/>
              </a:solidFill>
              <a:ln>
                <a:solidFill>
                  <a:srgbClr val="000000"/>
                </a:solidFill>
                <a:prstDash val="solid"/>
              </a:ln>
            </c:spPr>
          </c:marker>
          <c:val>
            <c:numRef>
              <c:f>'Weekly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3-09B9-49BF-9948-E3DE81A9E48D}"/>
            </c:ext>
          </c:extLst>
        </c:ser>
        <c:dLbls>
          <c:showLegendKey val="0"/>
          <c:showVal val="0"/>
          <c:showCatName val="0"/>
          <c:showSerName val="0"/>
          <c:showPercent val="0"/>
          <c:showBubbleSize val="0"/>
        </c:dLbls>
        <c:marker val="1"/>
        <c:smooth val="0"/>
        <c:axId val="102280576"/>
        <c:axId val="104858752"/>
      </c:lineChart>
      <c:catAx>
        <c:axId val="102277120"/>
        <c:scaling>
          <c:orientation val="minMax"/>
        </c:scaling>
        <c:delete val="0"/>
        <c:axPos val="b"/>
        <c:majorTickMark val="in"/>
        <c:minorTickMark val="none"/>
        <c:tickLblPos val="none"/>
        <c:spPr>
          <a:ln w="3175">
            <a:solidFill>
              <a:srgbClr val="000000"/>
            </a:solidFill>
            <a:prstDash val="solid"/>
          </a:ln>
        </c:spPr>
        <c:crossAx val="102279040"/>
        <c:crosses val="autoZero"/>
        <c:auto val="0"/>
        <c:lblAlgn val="ctr"/>
        <c:lblOffset val="100"/>
        <c:tickMarkSkip val="1"/>
        <c:noMultiLvlLbl val="0"/>
      </c:catAx>
      <c:valAx>
        <c:axId val="102279040"/>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2277120"/>
        <c:crosses val="autoZero"/>
        <c:crossBetween val="between"/>
        <c:majorUnit val="25"/>
      </c:valAx>
      <c:catAx>
        <c:axId val="102280576"/>
        <c:scaling>
          <c:orientation val="minMax"/>
        </c:scaling>
        <c:delete val="1"/>
        <c:axPos val="b"/>
        <c:majorTickMark val="out"/>
        <c:minorTickMark val="none"/>
        <c:tickLblPos val="none"/>
        <c:crossAx val="104858752"/>
        <c:crosses val="autoZero"/>
        <c:auto val="0"/>
        <c:lblAlgn val="ctr"/>
        <c:lblOffset val="100"/>
        <c:noMultiLvlLbl val="0"/>
      </c:catAx>
      <c:valAx>
        <c:axId val="104858752"/>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2280576"/>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spPr>
            <a:solidFill>
              <a:srgbClr val="FFFFFF"/>
            </a:solidFill>
            <a:ln w="12700">
              <a:solidFill>
                <a:srgbClr val="000000"/>
              </a:solidFill>
              <a:prstDash val="solid"/>
            </a:ln>
          </c:spPr>
          <c:invertIfNegative val="0"/>
          <c:dLbls>
            <c:spPr>
              <a:noFill/>
              <a:ln w="25400">
                <a:noFill/>
              </a:ln>
            </c:spPr>
            <c:txPr>
              <a:bodyPr/>
              <a:lstStyle/>
              <a:p>
                <a:pPr>
                  <a:defRPr sz="1100" b="0" i="0" u="none" strike="noStrike" baseline="0">
                    <a:solidFill>
                      <a:srgbClr val="000000"/>
                    </a:solidFill>
                    <a:latin typeface="ＭＳ Ｐ明朝"/>
                    <a:ea typeface="ＭＳ Ｐ明朝"/>
                    <a:cs typeface="ＭＳ Ｐ明朝"/>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0-44F1-4E42-ADCB-E3BAEE70C3E3}"/>
            </c:ext>
          </c:extLst>
        </c:ser>
        <c:ser>
          <c:idx val="3"/>
          <c:order val="1"/>
          <c:spPr>
            <a:pattFill prst="pct50">
              <a:fgClr>
                <a:srgbClr val="FFFFFF"/>
              </a:fgClr>
              <a:bgClr>
                <a:srgbClr val="000000"/>
              </a:bgClr>
            </a:pattFill>
            <a:ln w="12700">
              <a:solidFill>
                <a:srgbClr val="000000"/>
              </a:solidFill>
              <a:prstDash val="solid"/>
            </a:ln>
          </c:spPr>
          <c:invertIfNegative val="0"/>
          <c:val>
            <c:numRef>
              <c:f>'Weekly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1-44F1-4E42-ADCB-E3BAEE70C3E3}"/>
            </c:ext>
          </c:extLst>
        </c:ser>
        <c:dLbls>
          <c:showLegendKey val="0"/>
          <c:showVal val="0"/>
          <c:showCatName val="0"/>
          <c:showSerName val="0"/>
          <c:showPercent val="0"/>
          <c:showBubbleSize val="0"/>
        </c:dLbls>
        <c:gapWidth val="150"/>
        <c:axId val="104894848"/>
        <c:axId val="104896768"/>
      </c:barChart>
      <c:lineChart>
        <c:grouping val="standard"/>
        <c:varyColors val="0"/>
        <c:ser>
          <c:idx val="0"/>
          <c:order val="2"/>
          <c:spPr>
            <a:ln w="12700">
              <a:solidFill>
                <a:srgbClr val="000000"/>
              </a:solidFill>
              <a:prstDash val="sysDash"/>
            </a:ln>
          </c:spPr>
          <c:marker>
            <c:symbol val="diamond"/>
            <c:size val="5"/>
            <c:spPr>
              <a:solidFill>
                <a:srgbClr val="FFFFFF"/>
              </a:solidFill>
              <a:ln>
                <a:solidFill>
                  <a:srgbClr val="000000"/>
                </a:solidFill>
                <a:prstDash val="solid"/>
              </a:ln>
            </c:spPr>
          </c:marker>
          <c:dLbls>
            <c:spPr>
              <a:noFill/>
              <a:ln w="25400">
                <a:noFill/>
              </a:ln>
            </c:spPr>
            <c:txPr>
              <a:bodyPr/>
              <a:lstStyle/>
              <a:p>
                <a:pPr>
                  <a:defRPr sz="1100" b="0" i="0" u="none" strike="noStrike" baseline="0">
                    <a:solidFill>
                      <a:srgbClr val="000000"/>
                    </a:solidFill>
                    <a:latin typeface="ＭＳ Ｐ明朝"/>
                    <a:ea typeface="ＭＳ Ｐ明朝"/>
                    <a:cs typeface="ＭＳ Ｐ明朝"/>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2-44F1-4E42-ADCB-E3BAEE70C3E3}"/>
            </c:ext>
          </c:extLst>
        </c:ser>
        <c:ser>
          <c:idx val="1"/>
          <c:order val="3"/>
          <c:spPr>
            <a:ln w="12700">
              <a:solidFill>
                <a:srgbClr val="000000"/>
              </a:solidFill>
              <a:prstDash val="solid"/>
            </a:ln>
          </c:spPr>
          <c:marker>
            <c:symbol val="square"/>
            <c:size val="5"/>
            <c:spPr>
              <a:solidFill>
                <a:srgbClr val="000000"/>
              </a:solidFill>
              <a:ln>
                <a:solidFill>
                  <a:srgbClr val="000000"/>
                </a:solidFill>
                <a:prstDash val="solid"/>
              </a:ln>
            </c:spPr>
          </c:marker>
          <c:val>
            <c:numRef>
              <c:f>'Weekly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3-44F1-4E42-ADCB-E3BAEE70C3E3}"/>
            </c:ext>
          </c:extLst>
        </c:ser>
        <c:dLbls>
          <c:showLegendKey val="0"/>
          <c:showVal val="0"/>
          <c:showCatName val="0"/>
          <c:showSerName val="0"/>
          <c:showPercent val="0"/>
          <c:showBubbleSize val="0"/>
        </c:dLbls>
        <c:marker val="1"/>
        <c:smooth val="0"/>
        <c:axId val="104910848"/>
        <c:axId val="104912384"/>
      </c:lineChart>
      <c:catAx>
        <c:axId val="104894848"/>
        <c:scaling>
          <c:orientation val="minMax"/>
        </c:scaling>
        <c:delete val="0"/>
        <c:axPos val="b"/>
        <c:majorTickMark val="in"/>
        <c:minorTickMark val="none"/>
        <c:tickLblPos val="none"/>
        <c:spPr>
          <a:ln w="3175">
            <a:solidFill>
              <a:srgbClr val="000000"/>
            </a:solidFill>
            <a:prstDash val="solid"/>
          </a:ln>
        </c:spPr>
        <c:crossAx val="104896768"/>
        <c:crosses val="autoZero"/>
        <c:auto val="0"/>
        <c:lblAlgn val="ctr"/>
        <c:lblOffset val="100"/>
        <c:tickLblSkip val="10"/>
        <c:tickMarkSkip val="1"/>
        <c:noMultiLvlLbl val="0"/>
      </c:catAx>
      <c:valAx>
        <c:axId val="104896768"/>
        <c:scaling>
          <c:orientation val="minMax"/>
        </c:scaling>
        <c:delete val="0"/>
        <c:axPos val="l"/>
        <c:numFmt formatCode="#,##0_ ;\-#,##0\ "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4894848"/>
        <c:crosses val="autoZero"/>
        <c:crossBetween val="between"/>
      </c:valAx>
      <c:catAx>
        <c:axId val="104910848"/>
        <c:scaling>
          <c:orientation val="minMax"/>
        </c:scaling>
        <c:delete val="1"/>
        <c:axPos val="b"/>
        <c:majorTickMark val="out"/>
        <c:minorTickMark val="none"/>
        <c:tickLblPos val="none"/>
        <c:crossAx val="104912384"/>
        <c:crosses val="autoZero"/>
        <c:auto val="0"/>
        <c:lblAlgn val="ctr"/>
        <c:lblOffset val="100"/>
        <c:noMultiLvlLbl val="0"/>
      </c:catAx>
      <c:valAx>
        <c:axId val="104912384"/>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4910848"/>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854961832061068E-2"/>
          <c:y val="0.13178394337408683"/>
          <c:w val="0.92137404580152671"/>
          <c:h val="0.75969567356826528"/>
        </c:manualLayout>
      </c:layout>
      <c:barChart>
        <c:barDir val="col"/>
        <c:grouping val="clustered"/>
        <c:varyColors val="0"/>
        <c:ser>
          <c:idx val="2"/>
          <c:order val="0"/>
          <c:tx>
            <c:strRef>
              <c:f>'Weekly Report'!$B$23</c:f>
              <c:strCache>
                <c:ptCount val="1"/>
                <c:pt idx="0">
                  <c:v>Plan (weekly)</c:v>
                </c:pt>
              </c:strCache>
            </c:strRef>
          </c:tx>
          <c:spPr>
            <a:solidFill>
              <a:srgbClr val="FFFFFF"/>
            </a:solidFill>
            <a:ln w="12700">
              <a:solidFill>
                <a:srgbClr val="000000"/>
              </a:solidFill>
              <a:prstDash val="solid"/>
            </a:ln>
          </c:spPr>
          <c:invertIfNegative val="0"/>
          <c:val>
            <c:numRef>
              <c:f>'Weekly Report'!$C$23:$AF$23</c:f>
              <c:numCache>
                <c:formatCode>General</c:formatCode>
                <c:ptCount val="30"/>
                <c:pt idx="0">
                  <c:v>0</c:v>
                </c:pt>
                <c:pt idx="1">
                  <c:v>3</c:v>
                </c:pt>
                <c:pt idx="2">
                  <c:v>7</c:v>
                </c:pt>
                <c:pt idx="3">
                  <c:v>10</c:v>
                </c:pt>
                <c:pt idx="4">
                  <c:v>12</c:v>
                </c:pt>
                <c:pt idx="5">
                  <c:v>10</c:v>
                </c:pt>
                <c:pt idx="6">
                  <c:v>8</c:v>
                </c:pt>
                <c:pt idx="7">
                  <c:v>11</c:v>
                </c:pt>
                <c:pt idx="8">
                  <c:v>9</c:v>
                </c:pt>
                <c:pt idx="9">
                  <c:v>9</c:v>
                </c:pt>
                <c:pt idx="10">
                  <c:v>9</c:v>
                </c:pt>
                <c:pt idx="11">
                  <c:v>7</c:v>
                </c:pt>
                <c:pt idx="12">
                  <c:v>4</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E22-40DE-AFE9-D7558A8F99FE}"/>
            </c:ext>
          </c:extLst>
        </c:ser>
        <c:ser>
          <c:idx val="3"/>
          <c:order val="1"/>
          <c:tx>
            <c:strRef>
              <c:f>'Weekly Report'!$B$24</c:f>
              <c:strCache>
                <c:ptCount val="1"/>
                <c:pt idx="0">
                  <c:v>Result (weekly)</c:v>
                </c:pt>
              </c:strCache>
            </c:strRef>
          </c:tx>
          <c:spPr>
            <a:pattFill prst="pct50">
              <a:fgClr>
                <a:srgbClr val="FFFFFF"/>
              </a:fgClr>
              <a:bgClr>
                <a:srgbClr val="000000"/>
              </a:bgClr>
            </a:pattFill>
            <a:ln w="12700">
              <a:solidFill>
                <a:srgbClr val="000000"/>
              </a:solidFill>
              <a:prstDash val="solid"/>
            </a:ln>
          </c:spPr>
          <c:invertIfNegative val="0"/>
          <c:val>
            <c:numRef>
              <c:f>'Weekly Report'!$C$24:$AF$24</c:f>
              <c:numCache>
                <c:formatCode>General</c:formatCode>
                <c:ptCount val="30"/>
                <c:pt idx="0">
                  <c:v>0</c:v>
                </c:pt>
                <c:pt idx="1">
                  <c:v>3</c:v>
                </c:pt>
                <c:pt idx="2">
                  <c:v>7</c:v>
                </c:pt>
                <c:pt idx="3">
                  <c:v>9</c:v>
                </c:pt>
                <c:pt idx="4">
                  <c:v>13</c:v>
                </c:pt>
                <c:pt idx="5">
                  <c:v>10</c:v>
                </c:pt>
                <c:pt idx="6">
                  <c:v>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E22-40DE-AFE9-D7558A8F99FE}"/>
            </c:ext>
          </c:extLst>
        </c:ser>
        <c:dLbls>
          <c:showLegendKey val="0"/>
          <c:showVal val="0"/>
          <c:showCatName val="0"/>
          <c:showSerName val="0"/>
          <c:showPercent val="0"/>
          <c:showBubbleSize val="0"/>
        </c:dLbls>
        <c:gapWidth val="150"/>
        <c:axId val="105029632"/>
        <c:axId val="105031552"/>
      </c:barChart>
      <c:lineChart>
        <c:grouping val="standard"/>
        <c:varyColors val="0"/>
        <c:ser>
          <c:idx val="0"/>
          <c:order val="2"/>
          <c:tx>
            <c:strRef>
              <c:f>'Weekly Report'!$B$26</c:f>
              <c:strCache>
                <c:ptCount val="1"/>
                <c:pt idx="0">
                  <c:v>Plan (accum.)</c:v>
                </c:pt>
              </c:strCache>
            </c:strRef>
          </c:tx>
          <c:spPr>
            <a:ln w="12700">
              <a:solidFill>
                <a:srgbClr val="000000"/>
              </a:solidFill>
              <a:prstDash val="sysDash"/>
            </a:ln>
          </c:spPr>
          <c:marker>
            <c:symbol val="diamond"/>
            <c:size val="5"/>
            <c:spPr>
              <a:solidFill>
                <a:srgbClr val="FFFFFF"/>
              </a:solidFill>
              <a:ln>
                <a:solidFill>
                  <a:srgbClr val="000000"/>
                </a:solidFill>
                <a:prstDash val="solid"/>
              </a:ln>
            </c:spPr>
          </c:marker>
          <c:val>
            <c:numRef>
              <c:f>'Weekly Report'!$C$26:$AF$26</c:f>
              <c:numCache>
                <c:formatCode>General</c:formatCode>
                <c:ptCount val="30"/>
                <c:pt idx="0">
                  <c:v>0</c:v>
                </c:pt>
                <c:pt idx="1">
                  <c:v>3</c:v>
                </c:pt>
                <c:pt idx="2">
                  <c:v>10</c:v>
                </c:pt>
                <c:pt idx="3">
                  <c:v>20</c:v>
                </c:pt>
                <c:pt idx="4">
                  <c:v>32</c:v>
                </c:pt>
                <c:pt idx="5">
                  <c:v>42</c:v>
                </c:pt>
                <c:pt idx="6">
                  <c:v>50</c:v>
                </c:pt>
                <c:pt idx="7">
                  <c:v>61</c:v>
                </c:pt>
                <c:pt idx="8">
                  <c:v>70</c:v>
                </c:pt>
                <c:pt idx="9">
                  <c:v>79</c:v>
                </c:pt>
                <c:pt idx="10">
                  <c:v>88</c:v>
                </c:pt>
                <c:pt idx="11">
                  <c:v>95</c:v>
                </c:pt>
                <c:pt idx="12">
                  <c:v>99</c:v>
                </c:pt>
                <c:pt idx="13">
                  <c:v>99</c:v>
                </c:pt>
                <c:pt idx="14">
                  <c:v>99</c:v>
                </c:pt>
                <c:pt idx="15">
                  <c:v>99</c:v>
                </c:pt>
                <c:pt idx="16">
                  <c:v>99</c:v>
                </c:pt>
                <c:pt idx="17">
                  <c:v>99</c:v>
                </c:pt>
                <c:pt idx="18">
                  <c:v>99</c:v>
                </c:pt>
                <c:pt idx="19">
                  <c:v>99</c:v>
                </c:pt>
                <c:pt idx="20">
                  <c:v>99</c:v>
                </c:pt>
                <c:pt idx="21">
                  <c:v>99</c:v>
                </c:pt>
                <c:pt idx="22">
                  <c:v>99</c:v>
                </c:pt>
                <c:pt idx="23">
                  <c:v>99</c:v>
                </c:pt>
                <c:pt idx="24">
                  <c:v>99</c:v>
                </c:pt>
                <c:pt idx="25">
                  <c:v>99</c:v>
                </c:pt>
                <c:pt idx="26">
                  <c:v>99</c:v>
                </c:pt>
                <c:pt idx="27">
                  <c:v>99</c:v>
                </c:pt>
                <c:pt idx="28">
                  <c:v>99</c:v>
                </c:pt>
                <c:pt idx="29">
                  <c:v>99</c:v>
                </c:pt>
              </c:numCache>
            </c:numRef>
          </c:val>
          <c:smooth val="0"/>
          <c:extLst>
            <c:ext xmlns:c16="http://schemas.microsoft.com/office/drawing/2014/chart" uri="{C3380CC4-5D6E-409C-BE32-E72D297353CC}">
              <c16:uniqueId val="{00000002-1E22-40DE-AFE9-D7558A8F99FE}"/>
            </c:ext>
          </c:extLst>
        </c:ser>
        <c:ser>
          <c:idx val="1"/>
          <c:order val="3"/>
          <c:tx>
            <c:strRef>
              <c:f>'Weekly Report'!$B$27</c:f>
              <c:strCache>
                <c:ptCount val="1"/>
                <c:pt idx="0">
                  <c:v>Result (accum.)</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val>
            <c:numRef>
              <c:f>'Weekly Report'!$C$27:$AF$27</c:f>
              <c:numCache>
                <c:formatCode>General</c:formatCode>
                <c:ptCount val="30"/>
                <c:pt idx="0">
                  <c:v>0</c:v>
                </c:pt>
                <c:pt idx="1">
                  <c:v>3</c:v>
                </c:pt>
                <c:pt idx="2">
                  <c:v>10</c:v>
                </c:pt>
                <c:pt idx="3">
                  <c:v>19</c:v>
                </c:pt>
                <c:pt idx="4">
                  <c:v>32</c:v>
                </c:pt>
                <c:pt idx="5">
                  <c:v>42</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pt idx="29">
                  <c:v>50</c:v>
                </c:pt>
              </c:numCache>
            </c:numRef>
          </c:val>
          <c:smooth val="0"/>
          <c:extLst>
            <c:ext xmlns:c16="http://schemas.microsoft.com/office/drawing/2014/chart" uri="{C3380CC4-5D6E-409C-BE32-E72D297353CC}">
              <c16:uniqueId val="{00000003-1E22-40DE-AFE9-D7558A8F99FE}"/>
            </c:ext>
          </c:extLst>
        </c:ser>
        <c:dLbls>
          <c:showLegendKey val="0"/>
          <c:showVal val="0"/>
          <c:showCatName val="0"/>
          <c:showSerName val="0"/>
          <c:showPercent val="0"/>
          <c:showBubbleSize val="0"/>
        </c:dLbls>
        <c:marker val="1"/>
        <c:smooth val="0"/>
        <c:axId val="105033088"/>
        <c:axId val="105038976"/>
      </c:lineChart>
      <c:catAx>
        <c:axId val="105029632"/>
        <c:scaling>
          <c:orientation val="minMax"/>
        </c:scaling>
        <c:delete val="0"/>
        <c:axPos val="b"/>
        <c:majorTickMark val="in"/>
        <c:minorTickMark val="none"/>
        <c:tickLblPos val="none"/>
        <c:spPr>
          <a:ln w="3175">
            <a:solidFill>
              <a:srgbClr val="000000"/>
            </a:solidFill>
            <a:prstDash val="solid"/>
          </a:ln>
        </c:spPr>
        <c:crossAx val="105031552"/>
        <c:crosses val="autoZero"/>
        <c:auto val="0"/>
        <c:lblAlgn val="ctr"/>
        <c:lblOffset val="100"/>
        <c:tickLblSkip val="10"/>
        <c:tickMarkSkip val="1"/>
        <c:noMultiLvlLbl val="0"/>
      </c:catAx>
      <c:valAx>
        <c:axId val="105031552"/>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5029632"/>
        <c:crosses val="autoZero"/>
        <c:crossBetween val="between"/>
      </c:valAx>
      <c:catAx>
        <c:axId val="105033088"/>
        <c:scaling>
          <c:orientation val="minMax"/>
        </c:scaling>
        <c:delete val="1"/>
        <c:axPos val="b"/>
        <c:majorTickMark val="out"/>
        <c:minorTickMark val="none"/>
        <c:tickLblPos val="none"/>
        <c:crossAx val="105038976"/>
        <c:crosses val="autoZero"/>
        <c:auto val="0"/>
        <c:lblAlgn val="ctr"/>
        <c:lblOffset val="100"/>
        <c:noMultiLvlLbl val="0"/>
      </c:catAx>
      <c:valAx>
        <c:axId val="105038976"/>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5033088"/>
        <c:crosses val="max"/>
        <c:crossBetween val="between"/>
      </c:valAx>
      <c:spPr>
        <a:solidFill>
          <a:srgbClr val="FFFFFF"/>
        </a:solidFill>
        <a:ln w="12700">
          <a:solidFill>
            <a:srgbClr val="FFFFFF"/>
          </a:solidFill>
          <a:prstDash val="solid"/>
        </a:ln>
      </c:spPr>
    </c:plotArea>
    <c:legend>
      <c:legendPos val="r"/>
      <c:layout>
        <c:manualLayout>
          <c:xMode val="edge"/>
          <c:yMode val="edge"/>
          <c:x val="0.82900763358778629"/>
          <c:y val="0.10852795336689504"/>
          <c:w val="0.13129770992366413"/>
          <c:h val="0.7209356902229455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Page &amp;P</c:oddFooter>
    </c:headerFooter>
    <c:pageMargins b="0.98425196850393704" l="0" r="0" t="0.98425196850393704" header="0.51181102362204722" footer="0.51181102362204722"/>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2079-4D72-B2E5-E2E3F83B80E7}"/>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2079-4D72-B2E5-E2E3F83B80E7}"/>
            </c:ext>
          </c:extLst>
        </c:ser>
        <c:dLbls>
          <c:showLegendKey val="0"/>
          <c:showVal val="0"/>
          <c:showCatName val="0"/>
          <c:showSerName val="0"/>
          <c:showPercent val="0"/>
          <c:showBubbleSize val="0"/>
        </c:dLbls>
        <c:gapWidth val="150"/>
        <c:axId val="105069952"/>
        <c:axId val="105072128"/>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2079-4D72-B2E5-E2E3F83B80E7}"/>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2079-4D72-B2E5-E2E3F83B80E7}"/>
            </c:ext>
          </c:extLst>
        </c:ser>
        <c:dLbls>
          <c:showLegendKey val="0"/>
          <c:showVal val="0"/>
          <c:showCatName val="0"/>
          <c:showSerName val="0"/>
          <c:showPercent val="0"/>
          <c:showBubbleSize val="0"/>
        </c:dLbls>
        <c:marker val="1"/>
        <c:smooth val="0"/>
        <c:axId val="105073664"/>
        <c:axId val="105108224"/>
      </c:lineChart>
      <c:catAx>
        <c:axId val="105069952"/>
        <c:scaling>
          <c:orientation val="minMax"/>
        </c:scaling>
        <c:delete val="0"/>
        <c:axPos val="b"/>
        <c:majorTickMark val="in"/>
        <c:minorTickMark val="none"/>
        <c:tickLblPos val="none"/>
        <c:spPr>
          <a:ln w="3175">
            <a:solidFill>
              <a:srgbClr val="000000"/>
            </a:solidFill>
            <a:prstDash val="solid"/>
          </a:ln>
        </c:spPr>
        <c:crossAx val="105072128"/>
        <c:crosses val="autoZero"/>
        <c:auto val="0"/>
        <c:lblAlgn val="ctr"/>
        <c:lblOffset val="100"/>
        <c:tickMarkSkip val="1"/>
        <c:noMultiLvlLbl val="0"/>
      </c:catAx>
      <c:valAx>
        <c:axId val="105072128"/>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5069952"/>
        <c:crosses val="autoZero"/>
        <c:crossBetween val="between"/>
        <c:majorUnit val="500"/>
      </c:valAx>
      <c:catAx>
        <c:axId val="105073664"/>
        <c:scaling>
          <c:orientation val="minMax"/>
        </c:scaling>
        <c:delete val="1"/>
        <c:axPos val="b"/>
        <c:majorTickMark val="out"/>
        <c:minorTickMark val="none"/>
        <c:tickLblPos val="none"/>
        <c:crossAx val="105108224"/>
        <c:crosses val="autoZero"/>
        <c:auto val="0"/>
        <c:lblAlgn val="ctr"/>
        <c:lblOffset val="100"/>
        <c:noMultiLvlLbl val="0"/>
      </c:catAx>
      <c:valAx>
        <c:axId val="105108224"/>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5073664"/>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412B-425B-B8DB-C65D11D7E702}"/>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412B-425B-B8DB-C65D11D7E702}"/>
            </c:ext>
          </c:extLst>
        </c:ser>
        <c:dLbls>
          <c:showLegendKey val="0"/>
          <c:showVal val="0"/>
          <c:showCatName val="0"/>
          <c:showSerName val="0"/>
          <c:showPercent val="0"/>
          <c:showBubbleSize val="0"/>
        </c:dLbls>
        <c:gapWidth val="150"/>
        <c:axId val="105147392"/>
        <c:axId val="105149568"/>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412B-425B-B8DB-C65D11D7E702}"/>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412B-425B-B8DB-C65D11D7E702}"/>
            </c:ext>
          </c:extLst>
        </c:ser>
        <c:dLbls>
          <c:showLegendKey val="0"/>
          <c:showVal val="0"/>
          <c:showCatName val="0"/>
          <c:showSerName val="0"/>
          <c:showPercent val="0"/>
          <c:showBubbleSize val="0"/>
        </c:dLbls>
        <c:marker val="1"/>
        <c:smooth val="0"/>
        <c:axId val="105151104"/>
        <c:axId val="105169280"/>
      </c:lineChart>
      <c:catAx>
        <c:axId val="105147392"/>
        <c:scaling>
          <c:orientation val="minMax"/>
        </c:scaling>
        <c:delete val="0"/>
        <c:axPos val="b"/>
        <c:majorTickMark val="in"/>
        <c:minorTickMark val="none"/>
        <c:tickLblPos val="none"/>
        <c:spPr>
          <a:ln w="3175">
            <a:solidFill>
              <a:srgbClr val="000000"/>
            </a:solidFill>
            <a:prstDash val="solid"/>
          </a:ln>
        </c:spPr>
        <c:crossAx val="105149568"/>
        <c:crosses val="autoZero"/>
        <c:auto val="0"/>
        <c:lblAlgn val="ctr"/>
        <c:lblOffset val="100"/>
        <c:tickMarkSkip val="1"/>
        <c:noMultiLvlLbl val="0"/>
      </c:catAx>
      <c:valAx>
        <c:axId val="105149568"/>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5147392"/>
        <c:crosses val="autoZero"/>
        <c:crossBetween val="between"/>
        <c:majorUnit val="25"/>
      </c:valAx>
      <c:catAx>
        <c:axId val="105151104"/>
        <c:scaling>
          <c:orientation val="minMax"/>
        </c:scaling>
        <c:delete val="1"/>
        <c:axPos val="b"/>
        <c:majorTickMark val="out"/>
        <c:minorTickMark val="none"/>
        <c:tickLblPos val="none"/>
        <c:crossAx val="105169280"/>
        <c:crosses val="autoZero"/>
        <c:auto val="0"/>
        <c:lblAlgn val="ctr"/>
        <c:lblOffset val="100"/>
        <c:noMultiLvlLbl val="0"/>
      </c:catAx>
      <c:valAx>
        <c:axId val="105169280"/>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5151104"/>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2ABF-4502-A28A-B9FA17882CDF}"/>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2ABF-4502-A28A-B9FA17882CDF}"/>
            </c:ext>
          </c:extLst>
        </c:ser>
        <c:dLbls>
          <c:showLegendKey val="0"/>
          <c:showVal val="0"/>
          <c:showCatName val="0"/>
          <c:showSerName val="0"/>
          <c:showPercent val="0"/>
          <c:showBubbleSize val="0"/>
        </c:dLbls>
        <c:gapWidth val="150"/>
        <c:axId val="106846848"/>
        <c:axId val="106857216"/>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2ABF-4502-A28A-B9FA17882CDF}"/>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2ABF-4502-A28A-B9FA17882CDF}"/>
            </c:ext>
          </c:extLst>
        </c:ser>
        <c:dLbls>
          <c:showLegendKey val="0"/>
          <c:showVal val="0"/>
          <c:showCatName val="0"/>
          <c:showSerName val="0"/>
          <c:showPercent val="0"/>
          <c:showBubbleSize val="0"/>
        </c:dLbls>
        <c:marker val="1"/>
        <c:smooth val="0"/>
        <c:axId val="106858752"/>
        <c:axId val="106876928"/>
      </c:lineChart>
      <c:catAx>
        <c:axId val="106846848"/>
        <c:scaling>
          <c:orientation val="minMax"/>
        </c:scaling>
        <c:delete val="0"/>
        <c:axPos val="b"/>
        <c:majorTickMark val="in"/>
        <c:minorTickMark val="none"/>
        <c:tickLblPos val="none"/>
        <c:spPr>
          <a:ln w="3175">
            <a:solidFill>
              <a:srgbClr val="000000"/>
            </a:solidFill>
            <a:prstDash val="solid"/>
          </a:ln>
        </c:spPr>
        <c:crossAx val="106857216"/>
        <c:crosses val="autoZero"/>
        <c:auto val="0"/>
        <c:lblAlgn val="ctr"/>
        <c:lblOffset val="100"/>
        <c:tickLblSkip val="10"/>
        <c:tickMarkSkip val="1"/>
        <c:noMultiLvlLbl val="0"/>
      </c:catAx>
      <c:valAx>
        <c:axId val="106857216"/>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6846848"/>
        <c:crosses val="autoZero"/>
        <c:crossBetween val="between"/>
      </c:valAx>
      <c:catAx>
        <c:axId val="106858752"/>
        <c:scaling>
          <c:orientation val="minMax"/>
        </c:scaling>
        <c:delete val="1"/>
        <c:axPos val="b"/>
        <c:majorTickMark val="out"/>
        <c:minorTickMark val="none"/>
        <c:tickLblPos val="none"/>
        <c:crossAx val="106876928"/>
        <c:crosses val="autoZero"/>
        <c:auto val="0"/>
        <c:lblAlgn val="ctr"/>
        <c:lblOffset val="100"/>
        <c:noMultiLvlLbl val="0"/>
      </c:catAx>
      <c:valAx>
        <c:axId val="106876928"/>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6858752"/>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6F2F-4EB2-BB9A-46ABC19DA5FA}"/>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6F2F-4EB2-BB9A-46ABC19DA5FA}"/>
            </c:ext>
          </c:extLst>
        </c:ser>
        <c:dLbls>
          <c:showLegendKey val="0"/>
          <c:showVal val="0"/>
          <c:showCatName val="0"/>
          <c:showSerName val="0"/>
          <c:showPercent val="0"/>
          <c:showBubbleSize val="0"/>
        </c:dLbls>
        <c:gapWidth val="150"/>
        <c:axId val="96409856"/>
        <c:axId val="96420224"/>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6F2F-4EB2-BB9A-46ABC19DA5FA}"/>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6F2F-4EB2-BB9A-46ABC19DA5FA}"/>
            </c:ext>
          </c:extLst>
        </c:ser>
        <c:dLbls>
          <c:showLegendKey val="0"/>
          <c:showVal val="0"/>
          <c:showCatName val="0"/>
          <c:showSerName val="0"/>
          <c:showPercent val="0"/>
          <c:showBubbleSize val="0"/>
        </c:dLbls>
        <c:marker val="1"/>
        <c:smooth val="0"/>
        <c:axId val="96421760"/>
        <c:axId val="96423296"/>
      </c:lineChart>
      <c:catAx>
        <c:axId val="96409856"/>
        <c:scaling>
          <c:orientation val="minMax"/>
        </c:scaling>
        <c:delete val="0"/>
        <c:axPos val="b"/>
        <c:majorTickMark val="in"/>
        <c:minorTickMark val="none"/>
        <c:tickLblPos val="none"/>
        <c:spPr>
          <a:ln w="3175">
            <a:solidFill>
              <a:srgbClr val="000000"/>
            </a:solidFill>
            <a:prstDash val="solid"/>
          </a:ln>
        </c:spPr>
        <c:crossAx val="96420224"/>
        <c:crosses val="autoZero"/>
        <c:auto val="0"/>
        <c:lblAlgn val="ctr"/>
        <c:lblOffset val="100"/>
        <c:tickMarkSkip val="1"/>
        <c:noMultiLvlLbl val="0"/>
      </c:catAx>
      <c:valAx>
        <c:axId val="96420224"/>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6409856"/>
        <c:crosses val="autoZero"/>
        <c:crossBetween val="between"/>
        <c:majorUnit val="500"/>
      </c:valAx>
      <c:catAx>
        <c:axId val="96421760"/>
        <c:scaling>
          <c:orientation val="minMax"/>
        </c:scaling>
        <c:delete val="1"/>
        <c:axPos val="b"/>
        <c:majorTickMark val="out"/>
        <c:minorTickMark val="none"/>
        <c:tickLblPos val="none"/>
        <c:crossAx val="96423296"/>
        <c:crosses val="autoZero"/>
        <c:auto val="0"/>
        <c:lblAlgn val="ctr"/>
        <c:lblOffset val="100"/>
        <c:noMultiLvlLbl val="0"/>
      </c:catAx>
      <c:valAx>
        <c:axId val="96423296"/>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6421760"/>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8A5A-44F0-8246-100E8FE24BA6}"/>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8A5A-44F0-8246-100E8FE24BA6}"/>
            </c:ext>
          </c:extLst>
        </c:ser>
        <c:dLbls>
          <c:showLegendKey val="0"/>
          <c:showVal val="0"/>
          <c:showCatName val="0"/>
          <c:showSerName val="0"/>
          <c:showPercent val="0"/>
          <c:showBubbleSize val="0"/>
        </c:dLbls>
        <c:gapWidth val="150"/>
        <c:axId val="96462720"/>
        <c:axId val="96681984"/>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8A5A-44F0-8246-100E8FE24BA6}"/>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8A5A-44F0-8246-100E8FE24BA6}"/>
            </c:ext>
          </c:extLst>
        </c:ser>
        <c:dLbls>
          <c:showLegendKey val="0"/>
          <c:showVal val="0"/>
          <c:showCatName val="0"/>
          <c:showSerName val="0"/>
          <c:showPercent val="0"/>
          <c:showBubbleSize val="0"/>
        </c:dLbls>
        <c:marker val="1"/>
        <c:smooth val="0"/>
        <c:axId val="96683520"/>
        <c:axId val="96685056"/>
      </c:lineChart>
      <c:catAx>
        <c:axId val="96462720"/>
        <c:scaling>
          <c:orientation val="minMax"/>
        </c:scaling>
        <c:delete val="0"/>
        <c:axPos val="b"/>
        <c:majorTickMark val="in"/>
        <c:minorTickMark val="none"/>
        <c:tickLblPos val="none"/>
        <c:spPr>
          <a:ln w="3175">
            <a:solidFill>
              <a:srgbClr val="000000"/>
            </a:solidFill>
            <a:prstDash val="solid"/>
          </a:ln>
        </c:spPr>
        <c:crossAx val="96681984"/>
        <c:crosses val="autoZero"/>
        <c:auto val="0"/>
        <c:lblAlgn val="ctr"/>
        <c:lblOffset val="100"/>
        <c:tickMarkSkip val="1"/>
        <c:noMultiLvlLbl val="0"/>
      </c:catAx>
      <c:valAx>
        <c:axId val="96681984"/>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6462720"/>
        <c:crosses val="autoZero"/>
        <c:crossBetween val="between"/>
        <c:majorUnit val="25"/>
      </c:valAx>
      <c:catAx>
        <c:axId val="96683520"/>
        <c:scaling>
          <c:orientation val="minMax"/>
        </c:scaling>
        <c:delete val="1"/>
        <c:axPos val="b"/>
        <c:majorTickMark val="out"/>
        <c:minorTickMark val="none"/>
        <c:tickLblPos val="none"/>
        <c:crossAx val="96685056"/>
        <c:crosses val="autoZero"/>
        <c:auto val="0"/>
        <c:lblAlgn val="ctr"/>
        <c:lblOffset val="100"/>
        <c:noMultiLvlLbl val="0"/>
      </c:catAx>
      <c:valAx>
        <c:axId val="96685056"/>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6683520"/>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E74C-433D-B1B5-1BD22796AA75}"/>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E74C-433D-B1B5-1BD22796AA75}"/>
            </c:ext>
          </c:extLst>
        </c:ser>
        <c:dLbls>
          <c:showLegendKey val="0"/>
          <c:showVal val="0"/>
          <c:showCatName val="0"/>
          <c:showSerName val="0"/>
          <c:showPercent val="0"/>
          <c:showBubbleSize val="0"/>
        </c:dLbls>
        <c:gapWidth val="150"/>
        <c:axId val="96716288"/>
        <c:axId val="96718208"/>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E74C-433D-B1B5-1BD22796AA75}"/>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E74C-433D-B1B5-1BD22796AA75}"/>
            </c:ext>
          </c:extLst>
        </c:ser>
        <c:dLbls>
          <c:showLegendKey val="0"/>
          <c:showVal val="0"/>
          <c:showCatName val="0"/>
          <c:showSerName val="0"/>
          <c:showPercent val="0"/>
          <c:showBubbleSize val="0"/>
        </c:dLbls>
        <c:marker val="1"/>
        <c:smooth val="0"/>
        <c:axId val="96728192"/>
        <c:axId val="96729728"/>
      </c:lineChart>
      <c:catAx>
        <c:axId val="96716288"/>
        <c:scaling>
          <c:orientation val="minMax"/>
        </c:scaling>
        <c:delete val="0"/>
        <c:axPos val="b"/>
        <c:majorTickMark val="in"/>
        <c:minorTickMark val="none"/>
        <c:tickLblPos val="none"/>
        <c:spPr>
          <a:ln w="3175">
            <a:solidFill>
              <a:srgbClr val="000000"/>
            </a:solidFill>
            <a:prstDash val="solid"/>
          </a:ln>
        </c:spPr>
        <c:crossAx val="96718208"/>
        <c:crosses val="autoZero"/>
        <c:auto val="0"/>
        <c:lblAlgn val="ctr"/>
        <c:lblOffset val="100"/>
        <c:tickLblSkip val="10"/>
        <c:tickMarkSkip val="1"/>
        <c:noMultiLvlLbl val="0"/>
      </c:catAx>
      <c:valAx>
        <c:axId val="96718208"/>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6716288"/>
        <c:crosses val="autoZero"/>
        <c:crossBetween val="between"/>
      </c:valAx>
      <c:catAx>
        <c:axId val="96728192"/>
        <c:scaling>
          <c:orientation val="minMax"/>
        </c:scaling>
        <c:delete val="1"/>
        <c:axPos val="b"/>
        <c:majorTickMark val="out"/>
        <c:minorTickMark val="none"/>
        <c:tickLblPos val="none"/>
        <c:crossAx val="96729728"/>
        <c:crosses val="autoZero"/>
        <c:auto val="0"/>
        <c:lblAlgn val="ctr"/>
        <c:lblOffset val="100"/>
        <c:noMultiLvlLbl val="0"/>
      </c:catAx>
      <c:valAx>
        <c:axId val="96729728"/>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6728192"/>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110419906687403E-2"/>
          <c:y val="0.13178394337408683"/>
          <c:w val="0.93856920684292378"/>
          <c:h val="0.75969567356826528"/>
        </c:manualLayout>
      </c:layout>
      <c:barChart>
        <c:barDir val="col"/>
        <c:grouping val="clustered"/>
        <c:varyColors val="0"/>
        <c:ser>
          <c:idx val="2"/>
          <c:order val="0"/>
          <c:tx>
            <c:strRef>
              <c:f>'Weekly Report'!$B$38</c:f>
              <c:strCache>
                <c:ptCount val="1"/>
                <c:pt idx="0">
                  <c:v>Test Plan (weekly)</c:v>
                </c:pt>
              </c:strCache>
            </c:strRef>
          </c:tx>
          <c:spPr>
            <a:solidFill>
              <a:srgbClr val="FFFFFF"/>
            </a:solidFill>
            <a:ln w="12700">
              <a:solidFill>
                <a:srgbClr val="000000"/>
              </a:solidFill>
              <a:prstDash val="solid"/>
            </a:ln>
          </c:spPr>
          <c:invertIfNegative val="0"/>
          <c:val>
            <c:numRef>
              <c:f>'Weekly Report'!$C$38:$AF$38</c:f>
              <c:numCache>
                <c:formatCode>General</c:formatCode>
                <c:ptCount val="30"/>
                <c:pt idx="0">
                  <c:v>0</c:v>
                </c:pt>
                <c:pt idx="1">
                  <c:v>0</c:v>
                </c:pt>
                <c:pt idx="2">
                  <c:v>0</c:v>
                </c:pt>
                <c:pt idx="3">
                  <c:v>0</c:v>
                </c:pt>
                <c:pt idx="4">
                  <c:v>27</c:v>
                </c:pt>
                <c:pt idx="5">
                  <c:v>210</c:v>
                </c:pt>
                <c:pt idx="6">
                  <c:v>120</c:v>
                </c:pt>
                <c:pt idx="7">
                  <c:v>92</c:v>
                </c:pt>
                <c:pt idx="8">
                  <c:v>89</c:v>
                </c:pt>
                <c:pt idx="9">
                  <c:v>101</c:v>
                </c:pt>
                <c:pt idx="10">
                  <c:v>133</c:v>
                </c:pt>
                <c:pt idx="11">
                  <c:v>34</c:v>
                </c:pt>
                <c:pt idx="12">
                  <c:v>0</c:v>
                </c:pt>
                <c:pt idx="13">
                  <c:v>0</c:v>
                </c:pt>
                <c:pt idx="14">
                  <c:v>0</c:v>
                </c:pt>
                <c:pt idx="15">
                  <c:v>0</c:v>
                </c:pt>
                <c:pt idx="16">
                  <c:v>0</c:v>
                </c:pt>
                <c:pt idx="17">
                  <c:v>0</c:v>
                </c:pt>
              </c:numCache>
            </c:numRef>
          </c:val>
          <c:extLst>
            <c:ext xmlns:c16="http://schemas.microsoft.com/office/drawing/2014/chart" uri="{C3380CC4-5D6E-409C-BE32-E72D297353CC}">
              <c16:uniqueId val="{00000000-2E40-4879-9185-DE1B314EC17F}"/>
            </c:ext>
          </c:extLst>
        </c:ser>
        <c:ser>
          <c:idx val="4"/>
          <c:order val="4"/>
          <c:tx>
            <c:strRef>
              <c:f>'Weekly Report'!$B$39</c:f>
              <c:strCache>
                <c:ptCount val="1"/>
                <c:pt idx="0">
                  <c:v>Test Result (weekly)</c:v>
                </c:pt>
              </c:strCache>
            </c:strRef>
          </c:tx>
          <c:spPr>
            <a:solidFill>
              <a:srgbClr val="000000"/>
            </a:solidFill>
            <a:ln w="12700">
              <a:solidFill>
                <a:srgbClr val="000000"/>
              </a:solidFill>
              <a:prstDash val="solid"/>
            </a:ln>
          </c:spPr>
          <c:invertIfNegative val="0"/>
          <c:val>
            <c:numRef>
              <c:f>'Weekly Report'!$C$39:$AF$39</c:f>
              <c:numCache>
                <c:formatCode>General</c:formatCode>
                <c:ptCount val="30"/>
                <c:pt idx="0">
                  <c:v>0</c:v>
                </c:pt>
                <c:pt idx="1">
                  <c:v>0</c:v>
                </c:pt>
                <c:pt idx="2">
                  <c:v>0</c:v>
                </c:pt>
                <c:pt idx="3">
                  <c:v>0</c:v>
                </c:pt>
                <c:pt idx="4">
                  <c:v>27</c:v>
                </c:pt>
                <c:pt idx="5">
                  <c:v>210</c:v>
                </c:pt>
                <c:pt idx="6">
                  <c:v>120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1-2E40-4879-9185-DE1B314EC17F}"/>
            </c:ext>
          </c:extLst>
        </c:ser>
        <c:dLbls>
          <c:showLegendKey val="0"/>
          <c:showVal val="0"/>
          <c:showCatName val="0"/>
          <c:showSerName val="0"/>
          <c:showPercent val="0"/>
          <c:showBubbleSize val="0"/>
        </c:dLbls>
        <c:gapWidth val="150"/>
        <c:axId val="102325248"/>
        <c:axId val="102343808"/>
      </c:barChart>
      <c:lineChart>
        <c:grouping val="standard"/>
        <c:varyColors val="0"/>
        <c:ser>
          <c:idx val="3"/>
          <c:order val="1"/>
          <c:tx>
            <c:strRef>
              <c:f>'Weekly Report'!$B$42</c:f>
              <c:strCache>
                <c:ptCount val="1"/>
                <c:pt idx="0">
                  <c:v>Test Plan (remained)</c:v>
                </c:pt>
              </c:strCache>
            </c:strRef>
          </c:tx>
          <c:spPr>
            <a:ln w="12700">
              <a:solidFill>
                <a:srgbClr val="000000"/>
              </a:solidFill>
              <a:prstDash val="lgDashDotDot"/>
            </a:ln>
          </c:spPr>
          <c:marker>
            <c:symbol val="x"/>
            <c:size val="5"/>
            <c:spPr>
              <a:noFill/>
              <a:ln>
                <a:solidFill>
                  <a:srgbClr val="000000"/>
                </a:solidFill>
                <a:prstDash val="solid"/>
              </a:ln>
            </c:spPr>
          </c:marker>
          <c:val>
            <c:numRef>
              <c:f>'Weekly Report'!$C$42:$AF$42</c:f>
              <c:numCache>
                <c:formatCode>General</c:formatCode>
                <c:ptCount val="30"/>
                <c:pt idx="0">
                  <c:v>779</c:v>
                </c:pt>
                <c:pt idx="1">
                  <c:v>779</c:v>
                </c:pt>
                <c:pt idx="2">
                  <c:v>779</c:v>
                </c:pt>
                <c:pt idx="3">
                  <c:v>779</c:v>
                </c:pt>
                <c:pt idx="4">
                  <c:v>752</c:v>
                </c:pt>
                <c:pt idx="5">
                  <c:v>542</c:v>
                </c:pt>
                <c:pt idx="6">
                  <c:v>422</c:v>
                </c:pt>
                <c:pt idx="7">
                  <c:v>330</c:v>
                </c:pt>
                <c:pt idx="8">
                  <c:v>241</c:v>
                </c:pt>
                <c:pt idx="9">
                  <c:v>140</c:v>
                </c:pt>
                <c:pt idx="10">
                  <c:v>7</c:v>
                </c:pt>
                <c:pt idx="11">
                  <c:v>-27</c:v>
                </c:pt>
                <c:pt idx="12">
                  <c:v>-27</c:v>
                </c:pt>
                <c:pt idx="13">
                  <c:v>-27</c:v>
                </c:pt>
                <c:pt idx="14">
                  <c:v>-27</c:v>
                </c:pt>
                <c:pt idx="15">
                  <c:v>-27</c:v>
                </c:pt>
                <c:pt idx="16">
                  <c:v>-27</c:v>
                </c:pt>
                <c:pt idx="17">
                  <c:v>-27</c:v>
                </c:pt>
                <c:pt idx="18">
                  <c:v>-27</c:v>
                </c:pt>
                <c:pt idx="19">
                  <c:v>-27</c:v>
                </c:pt>
                <c:pt idx="20">
                  <c:v>-27</c:v>
                </c:pt>
                <c:pt idx="21">
                  <c:v>-27</c:v>
                </c:pt>
                <c:pt idx="22">
                  <c:v>-27</c:v>
                </c:pt>
                <c:pt idx="23">
                  <c:v>-27</c:v>
                </c:pt>
                <c:pt idx="24">
                  <c:v>-27</c:v>
                </c:pt>
                <c:pt idx="25">
                  <c:v>-27</c:v>
                </c:pt>
                <c:pt idx="26">
                  <c:v>-27</c:v>
                </c:pt>
                <c:pt idx="27">
                  <c:v>-27</c:v>
                </c:pt>
                <c:pt idx="28">
                  <c:v>-27</c:v>
                </c:pt>
                <c:pt idx="29">
                  <c:v>-27</c:v>
                </c:pt>
              </c:numCache>
            </c:numRef>
          </c:val>
          <c:smooth val="0"/>
          <c:extLst>
            <c:ext xmlns:c16="http://schemas.microsoft.com/office/drawing/2014/chart" uri="{C3380CC4-5D6E-409C-BE32-E72D297353CC}">
              <c16:uniqueId val="{00000002-2E40-4879-9185-DE1B314EC17F}"/>
            </c:ext>
          </c:extLst>
        </c:ser>
        <c:ser>
          <c:idx val="5"/>
          <c:order val="5"/>
          <c:tx>
            <c:strRef>
              <c:f>'Weekly Report'!$B$43</c:f>
              <c:strCache>
                <c:ptCount val="1"/>
                <c:pt idx="0">
                  <c:v>Test Result (remained)</c:v>
                </c:pt>
              </c:strCache>
            </c:strRef>
          </c:tx>
          <c:spPr>
            <a:ln w="12700">
              <a:solidFill>
                <a:srgbClr val="000000"/>
              </a:solidFill>
              <a:prstDash val="lgDashDot"/>
            </a:ln>
          </c:spPr>
          <c:marker>
            <c:symbol val="circle"/>
            <c:size val="5"/>
            <c:spPr>
              <a:solidFill>
                <a:srgbClr val="000000"/>
              </a:solidFill>
              <a:ln>
                <a:solidFill>
                  <a:srgbClr val="000000"/>
                </a:solidFill>
                <a:prstDash val="solid"/>
              </a:ln>
            </c:spPr>
          </c:marker>
          <c:val>
            <c:numRef>
              <c:f>'Weekly Report'!$C$43:$AF$43</c:f>
              <c:numCache>
                <c:formatCode>General</c:formatCode>
                <c:ptCount val="30"/>
                <c:pt idx="0">
                  <c:v>779</c:v>
                </c:pt>
                <c:pt idx="1">
                  <c:v>779</c:v>
                </c:pt>
                <c:pt idx="2">
                  <c:v>779</c:v>
                </c:pt>
                <c:pt idx="3">
                  <c:v>779</c:v>
                </c:pt>
                <c:pt idx="4">
                  <c:v>752</c:v>
                </c:pt>
                <c:pt idx="5">
                  <c:v>542</c:v>
                </c:pt>
                <c:pt idx="6">
                  <c:v>422</c:v>
                </c:pt>
                <c:pt idx="7">
                  <c:v>422</c:v>
                </c:pt>
                <c:pt idx="8">
                  <c:v>422</c:v>
                </c:pt>
                <c:pt idx="9">
                  <c:v>422</c:v>
                </c:pt>
                <c:pt idx="10">
                  <c:v>422</c:v>
                </c:pt>
                <c:pt idx="11">
                  <c:v>422</c:v>
                </c:pt>
                <c:pt idx="12">
                  <c:v>422</c:v>
                </c:pt>
                <c:pt idx="13">
                  <c:v>422</c:v>
                </c:pt>
                <c:pt idx="14">
                  <c:v>422</c:v>
                </c:pt>
                <c:pt idx="15">
                  <c:v>422</c:v>
                </c:pt>
                <c:pt idx="16">
                  <c:v>422</c:v>
                </c:pt>
                <c:pt idx="17">
                  <c:v>422</c:v>
                </c:pt>
                <c:pt idx="18">
                  <c:v>422</c:v>
                </c:pt>
                <c:pt idx="19">
                  <c:v>422</c:v>
                </c:pt>
                <c:pt idx="20">
                  <c:v>422</c:v>
                </c:pt>
                <c:pt idx="21">
                  <c:v>422</c:v>
                </c:pt>
                <c:pt idx="22">
                  <c:v>422</c:v>
                </c:pt>
                <c:pt idx="23">
                  <c:v>422</c:v>
                </c:pt>
                <c:pt idx="24">
                  <c:v>422</c:v>
                </c:pt>
                <c:pt idx="25">
                  <c:v>422</c:v>
                </c:pt>
                <c:pt idx="26">
                  <c:v>422</c:v>
                </c:pt>
                <c:pt idx="27">
                  <c:v>422</c:v>
                </c:pt>
                <c:pt idx="28">
                  <c:v>422</c:v>
                </c:pt>
                <c:pt idx="29">
                  <c:v>422</c:v>
                </c:pt>
              </c:numCache>
            </c:numRef>
          </c:val>
          <c:smooth val="0"/>
          <c:extLst>
            <c:ext xmlns:c16="http://schemas.microsoft.com/office/drawing/2014/chart" uri="{C3380CC4-5D6E-409C-BE32-E72D297353CC}">
              <c16:uniqueId val="{00000003-2E40-4879-9185-DE1B314EC17F}"/>
            </c:ext>
          </c:extLst>
        </c:ser>
        <c:dLbls>
          <c:showLegendKey val="0"/>
          <c:showVal val="0"/>
          <c:showCatName val="0"/>
          <c:showSerName val="0"/>
          <c:showPercent val="0"/>
          <c:showBubbleSize val="0"/>
        </c:dLbls>
        <c:marker val="1"/>
        <c:smooth val="0"/>
        <c:axId val="102325248"/>
        <c:axId val="102343808"/>
      </c:lineChart>
      <c:lineChart>
        <c:grouping val="standard"/>
        <c:varyColors val="0"/>
        <c:ser>
          <c:idx val="0"/>
          <c:order val="2"/>
          <c:tx>
            <c:strRef>
              <c:f>'Weekly Report'!$B$46</c:f>
              <c:strCache>
                <c:ptCount val="1"/>
                <c:pt idx="0">
                  <c:v>Inc Detected (accum.)</c:v>
                </c:pt>
              </c:strCache>
            </c:strRef>
          </c:tx>
          <c:spPr>
            <a:ln w="12700">
              <a:solidFill>
                <a:srgbClr val="000000"/>
              </a:solidFill>
              <a:prstDash val="sysDash"/>
            </a:ln>
          </c:spPr>
          <c:marker>
            <c:symbol val="diamond"/>
            <c:size val="5"/>
            <c:spPr>
              <a:solidFill>
                <a:srgbClr val="FFFFFF"/>
              </a:solidFill>
              <a:ln>
                <a:solidFill>
                  <a:srgbClr val="000000"/>
                </a:solidFill>
                <a:prstDash val="solid"/>
              </a:ln>
            </c:spPr>
          </c:marker>
          <c:val>
            <c:numRef>
              <c:f>'Weekly Report'!$C$46:$AF$46</c:f>
              <c:numCache>
                <c:formatCode>General</c:formatCode>
                <c:ptCount val="30"/>
                <c:pt idx="0">
                  <c:v>0</c:v>
                </c:pt>
                <c:pt idx="1">
                  <c:v>0</c:v>
                </c:pt>
                <c:pt idx="2">
                  <c:v>0</c:v>
                </c:pt>
                <c:pt idx="3">
                  <c:v>0</c:v>
                </c:pt>
                <c:pt idx="4">
                  <c:v>5</c:v>
                </c:pt>
                <c:pt idx="5">
                  <c:v>38</c:v>
                </c:pt>
                <c:pt idx="6">
                  <c:v>47</c:v>
                </c:pt>
                <c:pt idx="7">
                  <c:v>47</c:v>
                </c:pt>
                <c:pt idx="8">
                  <c:v>47</c:v>
                </c:pt>
                <c:pt idx="9">
                  <c:v>47</c:v>
                </c:pt>
                <c:pt idx="10">
                  <c:v>47</c:v>
                </c:pt>
                <c:pt idx="11">
                  <c:v>47</c:v>
                </c:pt>
                <c:pt idx="12">
                  <c:v>47</c:v>
                </c:pt>
                <c:pt idx="13">
                  <c:v>47</c:v>
                </c:pt>
                <c:pt idx="14">
                  <c:v>47</c:v>
                </c:pt>
                <c:pt idx="15">
                  <c:v>47</c:v>
                </c:pt>
                <c:pt idx="16">
                  <c:v>47</c:v>
                </c:pt>
                <c:pt idx="17">
                  <c:v>47</c:v>
                </c:pt>
                <c:pt idx="18">
                  <c:v>47</c:v>
                </c:pt>
                <c:pt idx="19">
                  <c:v>47</c:v>
                </c:pt>
                <c:pt idx="20">
                  <c:v>47</c:v>
                </c:pt>
                <c:pt idx="21">
                  <c:v>47</c:v>
                </c:pt>
                <c:pt idx="22">
                  <c:v>47</c:v>
                </c:pt>
                <c:pt idx="23">
                  <c:v>47</c:v>
                </c:pt>
                <c:pt idx="24">
                  <c:v>47</c:v>
                </c:pt>
                <c:pt idx="25">
                  <c:v>47</c:v>
                </c:pt>
                <c:pt idx="26">
                  <c:v>47</c:v>
                </c:pt>
                <c:pt idx="27">
                  <c:v>47</c:v>
                </c:pt>
                <c:pt idx="28">
                  <c:v>47</c:v>
                </c:pt>
                <c:pt idx="29">
                  <c:v>47</c:v>
                </c:pt>
              </c:numCache>
            </c:numRef>
          </c:val>
          <c:smooth val="0"/>
          <c:extLst>
            <c:ext xmlns:c16="http://schemas.microsoft.com/office/drawing/2014/chart" uri="{C3380CC4-5D6E-409C-BE32-E72D297353CC}">
              <c16:uniqueId val="{00000004-2E40-4879-9185-DE1B314EC17F}"/>
            </c:ext>
          </c:extLst>
        </c:ser>
        <c:ser>
          <c:idx val="1"/>
          <c:order val="3"/>
          <c:tx>
            <c:strRef>
              <c:f>'Weekly Report'!$B$47</c:f>
              <c:strCache>
                <c:ptCount val="1"/>
                <c:pt idx="0">
                  <c:v>Inc Fixed (accum.)</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val>
            <c:numRef>
              <c:f>'Weekly Report'!$C$47:$AF$47</c:f>
              <c:numCache>
                <c:formatCode>General</c:formatCode>
                <c:ptCount val="30"/>
                <c:pt idx="0">
                  <c:v>0</c:v>
                </c:pt>
                <c:pt idx="1">
                  <c:v>0</c:v>
                </c:pt>
                <c:pt idx="2">
                  <c:v>0</c:v>
                </c:pt>
                <c:pt idx="3">
                  <c:v>0</c:v>
                </c:pt>
                <c:pt idx="4">
                  <c:v>5</c:v>
                </c:pt>
                <c:pt idx="5">
                  <c:v>38</c:v>
                </c:pt>
                <c:pt idx="6">
                  <c:v>47</c:v>
                </c:pt>
                <c:pt idx="7">
                  <c:v>47</c:v>
                </c:pt>
                <c:pt idx="8">
                  <c:v>47</c:v>
                </c:pt>
                <c:pt idx="9">
                  <c:v>47</c:v>
                </c:pt>
                <c:pt idx="10">
                  <c:v>47</c:v>
                </c:pt>
                <c:pt idx="11">
                  <c:v>47</c:v>
                </c:pt>
                <c:pt idx="12">
                  <c:v>47</c:v>
                </c:pt>
                <c:pt idx="13">
                  <c:v>47</c:v>
                </c:pt>
                <c:pt idx="14">
                  <c:v>47</c:v>
                </c:pt>
                <c:pt idx="15">
                  <c:v>47</c:v>
                </c:pt>
                <c:pt idx="16">
                  <c:v>47</c:v>
                </c:pt>
                <c:pt idx="17">
                  <c:v>47</c:v>
                </c:pt>
                <c:pt idx="18">
                  <c:v>47</c:v>
                </c:pt>
                <c:pt idx="19">
                  <c:v>47</c:v>
                </c:pt>
                <c:pt idx="20">
                  <c:v>47</c:v>
                </c:pt>
                <c:pt idx="21">
                  <c:v>47</c:v>
                </c:pt>
                <c:pt idx="22">
                  <c:v>47</c:v>
                </c:pt>
                <c:pt idx="23">
                  <c:v>47</c:v>
                </c:pt>
                <c:pt idx="24">
                  <c:v>47</c:v>
                </c:pt>
                <c:pt idx="25">
                  <c:v>47</c:v>
                </c:pt>
                <c:pt idx="26">
                  <c:v>47</c:v>
                </c:pt>
                <c:pt idx="27">
                  <c:v>47</c:v>
                </c:pt>
                <c:pt idx="28">
                  <c:v>47</c:v>
                </c:pt>
                <c:pt idx="29">
                  <c:v>47</c:v>
                </c:pt>
              </c:numCache>
            </c:numRef>
          </c:val>
          <c:smooth val="0"/>
          <c:extLst>
            <c:ext xmlns:c16="http://schemas.microsoft.com/office/drawing/2014/chart" uri="{C3380CC4-5D6E-409C-BE32-E72D297353CC}">
              <c16:uniqueId val="{00000005-2E40-4879-9185-DE1B314EC17F}"/>
            </c:ext>
          </c:extLst>
        </c:ser>
        <c:dLbls>
          <c:showLegendKey val="0"/>
          <c:showVal val="0"/>
          <c:showCatName val="0"/>
          <c:showSerName val="0"/>
          <c:showPercent val="0"/>
          <c:showBubbleSize val="0"/>
        </c:dLbls>
        <c:marker val="1"/>
        <c:smooth val="0"/>
        <c:axId val="102345344"/>
        <c:axId val="102351232"/>
      </c:lineChart>
      <c:catAx>
        <c:axId val="102325248"/>
        <c:scaling>
          <c:orientation val="minMax"/>
        </c:scaling>
        <c:delete val="0"/>
        <c:axPos val="b"/>
        <c:majorTickMark val="in"/>
        <c:minorTickMark val="none"/>
        <c:tickLblPos val="none"/>
        <c:spPr>
          <a:ln w="3175">
            <a:solidFill>
              <a:srgbClr val="000000"/>
            </a:solidFill>
            <a:prstDash val="solid"/>
          </a:ln>
        </c:spPr>
        <c:crossAx val="102343808"/>
        <c:crosses val="autoZero"/>
        <c:auto val="0"/>
        <c:lblAlgn val="ctr"/>
        <c:lblOffset val="100"/>
        <c:tickLblSkip val="10"/>
        <c:tickMarkSkip val="1"/>
        <c:noMultiLvlLbl val="0"/>
      </c:catAx>
      <c:valAx>
        <c:axId val="102343808"/>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2325248"/>
        <c:crosses val="autoZero"/>
        <c:crossBetween val="between"/>
      </c:valAx>
      <c:catAx>
        <c:axId val="102345344"/>
        <c:scaling>
          <c:orientation val="minMax"/>
        </c:scaling>
        <c:delete val="1"/>
        <c:axPos val="b"/>
        <c:majorTickMark val="out"/>
        <c:minorTickMark val="none"/>
        <c:tickLblPos val="none"/>
        <c:crossAx val="102351232"/>
        <c:crosses val="autoZero"/>
        <c:auto val="0"/>
        <c:lblAlgn val="ctr"/>
        <c:lblOffset val="100"/>
        <c:noMultiLvlLbl val="0"/>
      </c:catAx>
      <c:valAx>
        <c:axId val="102351232"/>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2345344"/>
        <c:crosses val="max"/>
        <c:crossBetween val="between"/>
      </c:valAx>
      <c:spPr>
        <a:solidFill>
          <a:srgbClr val="FFFFFF"/>
        </a:solidFill>
        <a:ln w="12700">
          <a:solidFill>
            <a:srgbClr val="FFFFFF"/>
          </a:solidFill>
          <a:prstDash val="solid"/>
        </a:ln>
      </c:spPr>
    </c:plotArea>
    <c:legend>
      <c:legendPos val="r"/>
      <c:layout>
        <c:manualLayout>
          <c:xMode val="edge"/>
          <c:yMode val="edge"/>
          <c:x val="0.80870917573872469"/>
          <c:y val="7.7519966690639319E-2"/>
          <c:w val="0.13141524105754276"/>
          <c:h val="0.75194367689920139"/>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paperSize="9"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0"/>
          <c:spPr>
            <a:solidFill>
              <a:srgbClr val="FFFF99"/>
            </a:solidFill>
            <a:ln w="12700">
              <a:solidFill>
                <a:srgbClr val="000000"/>
              </a:solidFill>
              <a:prstDash val="solid"/>
            </a:ln>
          </c:spPr>
          <c:invertIfNegative val="0"/>
          <c:val>
            <c:numRef>
              <c:f>'Weekly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0-50D5-4F9D-A799-770362F1B84B}"/>
            </c:ext>
          </c:extLst>
        </c:ser>
        <c:ser>
          <c:idx val="0"/>
          <c:order val="1"/>
          <c:spPr>
            <a:solidFill>
              <a:srgbClr val="C0C0C0"/>
            </a:solidFill>
            <a:ln w="12700">
              <a:solidFill>
                <a:srgbClr val="000000"/>
              </a:solidFill>
              <a:prstDash val="solid"/>
            </a:ln>
          </c:spPr>
          <c:invertIfNegative val="0"/>
          <c:val>
            <c:numRef>
              <c:f>'Weekly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1-50D5-4F9D-A799-770362F1B84B}"/>
            </c:ext>
          </c:extLst>
        </c:ser>
        <c:ser>
          <c:idx val="3"/>
          <c:order val="4"/>
          <c:spPr>
            <a:solidFill>
              <a:srgbClr val="CCFFFF"/>
            </a:solidFill>
            <a:ln w="12700">
              <a:solidFill>
                <a:srgbClr val="000000"/>
              </a:solidFill>
              <a:prstDash val="solid"/>
            </a:ln>
          </c:spPr>
          <c:invertIfNegative val="0"/>
          <c:val>
            <c:numRef>
              <c:f>'Weekly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2-50D5-4F9D-A799-770362F1B84B}"/>
            </c:ext>
          </c:extLst>
        </c:ser>
        <c:dLbls>
          <c:showLegendKey val="0"/>
          <c:showVal val="0"/>
          <c:showCatName val="0"/>
          <c:showSerName val="0"/>
          <c:showPercent val="0"/>
          <c:showBubbleSize val="0"/>
        </c:dLbls>
        <c:gapWidth val="150"/>
        <c:axId val="106349312"/>
        <c:axId val="106351232"/>
      </c:barChart>
      <c:lineChart>
        <c:grouping val="standard"/>
        <c:varyColors val="0"/>
        <c:ser>
          <c:idx val="5"/>
          <c:order val="2"/>
          <c:spPr>
            <a:ln w="12700">
              <a:solidFill>
                <a:srgbClr val="800000"/>
              </a:solidFill>
              <a:prstDash val="solid"/>
            </a:ln>
          </c:spPr>
          <c:marker>
            <c:symbol val="circle"/>
            <c:size val="5"/>
            <c:spPr>
              <a:solidFill>
                <a:srgbClr val="800000"/>
              </a:solidFill>
              <a:ln>
                <a:solidFill>
                  <a:srgbClr val="800000"/>
                </a:solidFill>
                <a:prstDash val="solid"/>
              </a:ln>
            </c:spPr>
          </c:marker>
          <c:val>
            <c:numRef>
              <c:f>'Weekly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3-50D5-4F9D-A799-770362F1B84B}"/>
            </c:ext>
          </c:extLst>
        </c:ser>
        <c:ser>
          <c:idx val="2"/>
          <c:order val="3"/>
          <c:spPr>
            <a:ln w="12700">
              <a:solidFill>
                <a:srgbClr val="0000FF"/>
              </a:solidFill>
              <a:prstDash val="solid"/>
            </a:ln>
          </c:spPr>
          <c:marker>
            <c:symbol val="triangle"/>
            <c:size val="5"/>
            <c:spPr>
              <a:solidFill>
                <a:srgbClr val="0000FF"/>
              </a:solidFill>
              <a:ln>
                <a:solidFill>
                  <a:srgbClr val="0000FF"/>
                </a:solidFill>
                <a:prstDash val="solid"/>
              </a:ln>
            </c:spPr>
          </c:marker>
          <c:val>
            <c:numRef>
              <c:f>'Weekly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4-50D5-4F9D-A799-770362F1B84B}"/>
            </c:ext>
          </c:extLst>
        </c:ser>
        <c:dLbls>
          <c:showLegendKey val="0"/>
          <c:showVal val="0"/>
          <c:showCatName val="0"/>
          <c:showSerName val="0"/>
          <c:showPercent val="0"/>
          <c:showBubbleSize val="0"/>
        </c:dLbls>
        <c:marker val="1"/>
        <c:smooth val="0"/>
        <c:axId val="106349312"/>
        <c:axId val="106351232"/>
      </c:lineChart>
      <c:lineChart>
        <c:grouping val="standard"/>
        <c:varyColors val="0"/>
        <c:ser>
          <c:idx val="4"/>
          <c:order val="5"/>
          <c:spPr>
            <a:ln w="12700">
              <a:solidFill>
                <a:srgbClr val="800080"/>
              </a:solidFill>
              <a:prstDash val="solid"/>
            </a:ln>
          </c:spPr>
          <c:marker>
            <c:symbol val="star"/>
            <c:size val="5"/>
            <c:spPr>
              <a:noFill/>
              <a:ln>
                <a:solidFill>
                  <a:srgbClr val="800080"/>
                </a:solidFill>
                <a:prstDash val="solid"/>
              </a:ln>
            </c:spPr>
          </c:marker>
          <c:val>
            <c:numRef>
              <c:f>'Weekly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'Weekly Report'!#REF!</c15:sqref>
                        </c15:formulaRef>
                      </c:ext>
                    </c:extLst>
                    <c:strCache>
                      <c:ptCount val="1"/>
                      <c:pt idx="0">
                        <c:v>#REF!</c:v>
                      </c:pt>
                    </c:strCache>
                  </c:strRef>
                </c15:tx>
              </c15:filteredSeriesTitle>
            </c:ext>
            <c:ext xmlns:c16="http://schemas.microsoft.com/office/drawing/2014/chart" uri="{C3380CC4-5D6E-409C-BE32-E72D297353CC}">
              <c16:uniqueId val="{00000005-50D5-4F9D-A799-770362F1B84B}"/>
            </c:ext>
          </c:extLst>
        </c:ser>
        <c:dLbls>
          <c:showLegendKey val="0"/>
          <c:showVal val="0"/>
          <c:showCatName val="0"/>
          <c:showSerName val="0"/>
          <c:showPercent val="0"/>
          <c:showBubbleSize val="0"/>
        </c:dLbls>
        <c:marker val="1"/>
        <c:smooth val="0"/>
        <c:axId val="106361216"/>
        <c:axId val="106362752"/>
      </c:lineChart>
      <c:catAx>
        <c:axId val="106349312"/>
        <c:scaling>
          <c:orientation val="minMax"/>
        </c:scaling>
        <c:delete val="0"/>
        <c:axPos val="b"/>
        <c:majorTickMark val="in"/>
        <c:minorTickMark val="none"/>
        <c:tickLblPos val="none"/>
        <c:spPr>
          <a:ln w="3175">
            <a:solidFill>
              <a:srgbClr val="000000"/>
            </a:solidFill>
            <a:prstDash val="solid"/>
          </a:ln>
        </c:spPr>
        <c:crossAx val="106351232"/>
        <c:crosses val="autoZero"/>
        <c:auto val="0"/>
        <c:lblAlgn val="ctr"/>
        <c:lblOffset val="100"/>
        <c:tickMarkSkip val="1"/>
        <c:noMultiLvlLbl val="0"/>
      </c:catAx>
      <c:valAx>
        <c:axId val="106351232"/>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ゴシック"/>
                <a:ea typeface="ＭＳ Ｐゴシック"/>
                <a:cs typeface="ＭＳ Ｐゴシック"/>
              </a:defRPr>
            </a:pPr>
            <a:endParaRPr lang="en-US"/>
          </a:p>
        </c:txPr>
        <c:crossAx val="106349312"/>
        <c:crosses val="autoZero"/>
        <c:crossBetween val="between"/>
      </c:valAx>
      <c:catAx>
        <c:axId val="106361216"/>
        <c:scaling>
          <c:orientation val="minMax"/>
        </c:scaling>
        <c:delete val="1"/>
        <c:axPos val="b"/>
        <c:majorTickMark val="out"/>
        <c:minorTickMark val="none"/>
        <c:tickLblPos val="none"/>
        <c:crossAx val="106362752"/>
        <c:crosses val="autoZero"/>
        <c:auto val="0"/>
        <c:lblAlgn val="ctr"/>
        <c:lblOffset val="100"/>
        <c:noMultiLvlLbl val="0"/>
      </c:catAx>
      <c:valAx>
        <c:axId val="106362752"/>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ゴシック"/>
                <a:ea typeface="ＭＳ Ｐゴシック"/>
                <a:cs typeface="ＭＳ Ｐゴシック"/>
              </a:defRPr>
            </a:pPr>
            <a:endParaRPr lang="en-US"/>
          </a:p>
        </c:txPr>
        <c:crossAx val="106361216"/>
        <c:crosses val="max"/>
        <c:crossBetween val="between"/>
      </c:valAx>
      <c:spPr>
        <a:no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en-US"/>
        </a:p>
      </c:txPr>
    </c:legend>
    <c:plotVisOnly val="1"/>
    <c:dispBlanksAs val="gap"/>
    <c:showDLblsOverMax val="0"/>
  </c:chart>
  <c:spPr>
    <a:solidFill>
      <a:srgbClr val="FFFFFF"/>
    </a:solidFill>
    <a:ln w="9525">
      <a:noFill/>
    </a:ln>
  </c:spPr>
  <c:txPr>
    <a:bodyPr/>
    <a:lstStyle/>
    <a:p>
      <a:pPr>
        <a:defRPr sz="1100" b="0" i="0" u="none" strike="noStrike" baseline="0">
          <a:solidFill>
            <a:srgbClr val="000000"/>
          </a:solidFill>
          <a:latin typeface="ＭＳ Ｐゴシック"/>
          <a:ea typeface="ＭＳ Ｐゴシック"/>
          <a:cs typeface="ＭＳ Ｐゴシック"/>
        </a:defRPr>
      </a:pPr>
      <a:endParaRPr lang="en-US"/>
    </a:p>
  </c:txPr>
  <c:printSettings>
    <c:headerFooter alignWithMargins="0">
      <c:oddHeader>&amp;A</c:oddHeader>
      <c:oddFooter>Page &amp;P</c:oddFooter>
    </c:headerFooter>
    <c:pageMargins b="1" l="0.75" r="0.7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25DE-4F7B-931A-BED712AB8C27}"/>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25DE-4F7B-931A-BED712AB8C27}"/>
            </c:ext>
          </c:extLst>
        </c:ser>
        <c:dLbls>
          <c:showLegendKey val="0"/>
          <c:showVal val="0"/>
          <c:showCatName val="0"/>
          <c:showSerName val="0"/>
          <c:showPercent val="0"/>
          <c:showBubbleSize val="0"/>
        </c:dLbls>
        <c:gapWidth val="150"/>
        <c:axId val="106668416"/>
        <c:axId val="106670336"/>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25DE-4F7B-931A-BED712AB8C27}"/>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25DE-4F7B-931A-BED712AB8C27}"/>
            </c:ext>
          </c:extLst>
        </c:ser>
        <c:dLbls>
          <c:showLegendKey val="0"/>
          <c:showVal val="0"/>
          <c:showCatName val="0"/>
          <c:showSerName val="0"/>
          <c:showPercent val="0"/>
          <c:showBubbleSize val="0"/>
        </c:dLbls>
        <c:marker val="1"/>
        <c:smooth val="0"/>
        <c:axId val="106684416"/>
        <c:axId val="106685952"/>
      </c:lineChart>
      <c:catAx>
        <c:axId val="106668416"/>
        <c:scaling>
          <c:orientation val="minMax"/>
        </c:scaling>
        <c:delete val="0"/>
        <c:axPos val="b"/>
        <c:majorTickMark val="in"/>
        <c:minorTickMark val="none"/>
        <c:tickLblPos val="none"/>
        <c:spPr>
          <a:ln w="3175">
            <a:solidFill>
              <a:srgbClr val="000000"/>
            </a:solidFill>
            <a:prstDash val="solid"/>
          </a:ln>
        </c:spPr>
        <c:crossAx val="106670336"/>
        <c:crosses val="autoZero"/>
        <c:auto val="0"/>
        <c:lblAlgn val="ctr"/>
        <c:lblOffset val="100"/>
        <c:tickMarkSkip val="1"/>
        <c:noMultiLvlLbl val="0"/>
      </c:catAx>
      <c:valAx>
        <c:axId val="106670336"/>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6668416"/>
        <c:crosses val="autoZero"/>
        <c:crossBetween val="between"/>
        <c:majorUnit val="500"/>
      </c:valAx>
      <c:catAx>
        <c:axId val="106684416"/>
        <c:scaling>
          <c:orientation val="minMax"/>
        </c:scaling>
        <c:delete val="1"/>
        <c:axPos val="b"/>
        <c:majorTickMark val="out"/>
        <c:minorTickMark val="none"/>
        <c:tickLblPos val="none"/>
        <c:crossAx val="106685952"/>
        <c:crosses val="autoZero"/>
        <c:auto val="0"/>
        <c:lblAlgn val="ctr"/>
        <c:lblOffset val="100"/>
        <c:noMultiLvlLbl val="0"/>
      </c:catAx>
      <c:valAx>
        <c:axId val="106685952"/>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6684416"/>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482F-42E3-8282-84C434004394}"/>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482F-42E3-8282-84C434004394}"/>
            </c:ext>
          </c:extLst>
        </c:ser>
        <c:dLbls>
          <c:showLegendKey val="0"/>
          <c:showVal val="0"/>
          <c:showCatName val="0"/>
          <c:showSerName val="0"/>
          <c:showPercent val="0"/>
          <c:showBubbleSize val="0"/>
        </c:dLbls>
        <c:gapWidth val="150"/>
        <c:axId val="106786816"/>
        <c:axId val="106788736"/>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482F-42E3-8282-84C434004394}"/>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482F-42E3-8282-84C434004394}"/>
            </c:ext>
          </c:extLst>
        </c:ser>
        <c:dLbls>
          <c:showLegendKey val="0"/>
          <c:showVal val="0"/>
          <c:showCatName val="0"/>
          <c:showSerName val="0"/>
          <c:showPercent val="0"/>
          <c:showBubbleSize val="0"/>
        </c:dLbls>
        <c:marker val="1"/>
        <c:smooth val="0"/>
        <c:axId val="106790272"/>
        <c:axId val="106804352"/>
      </c:lineChart>
      <c:catAx>
        <c:axId val="106786816"/>
        <c:scaling>
          <c:orientation val="minMax"/>
        </c:scaling>
        <c:delete val="0"/>
        <c:axPos val="b"/>
        <c:majorTickMark val="in"/>
        <c:minorTickMark val="none"/>
        <c:tickLblPos val="none"/>
        <c:spPr>
          <a:ln w="3175">
            <a:solidFill>
              <a:srgbClr val="000000"/>
            </a:solidFill>
            <a:prstDash val="solid"/>
          </a:ln>
        </c:spPr>
        <c:crossAx val="106788736"/>
        <c:crosses val="autoZero"/>
        <c:auto val="0"/>
        <c:lblAlgn val="ctr"/>
        <c:lblOffset val="100"/>
        <c:tickMarkSkip val="1"/>
        <c:noMultiLvlLbl val="0"/>
      </c:catAx>
      <c:valAx>
        <c:axId val="106788736"/>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6786816"/>
        <c:crosses val="autoZero"/>
        <c:crossBetween val="between"/>
        <c:majorUnit val="25"/>
      </c:valAx>
      <c:catAx>
        <c:axId val="106790272"/>
        <c:scaling>
          <c:orientation val="minMax"/>
        </c:scaling>
        <c:delete val="1"/>
        <c:axPos val="b"/>
        <c:majorTickMark val="out"/>
        <c:minorTickMark val="none"/>
        <c:tickLblPos val="none"/>
        <c:crossAx val="106804352"/>
        <c:crosses val="autoZero"/>
        <c:auto val="0"/>
        <c:lblAlgn val="ctr"/>
        <c:lblOffset val="100"/>
        <c:noMultiLvlLbl val="0"/>
      </c:catAx>
      <c:valAx>
        <c:axId val="106804352"/>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106790272"/>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A4A8-429A-AA04-961D143C83B8}"/>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A4A8-429A-AA04-961D143C83B8}"/>
            </c:ext>
          </c:extLst>
        </c:ser>
        <c:dLbls>
          <c:showLegendKey val="0"/>
          <c:showVal val="0"/>
          <c:showCatName val="0"/>
          <c:showSerName val="0"/>
          <c:showPercent val="0"/>
          <c:showBubbleSize val="0"/>
        </c:dLbls>
        <c:gapWidth val="150"/>
        <c:axId val="48647552"/>
        <c:axId val="48649728"/>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A4A8-429A-AA04-961D143C83B8}"/>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A4A8-429A-AA04-961D143C83B8}"/>
            </c:ext>
          </c:extLst>
        </c:ser>
        <c:dLbls>
          <c:showLegendKey val="0"/>
          <c:showVal val="0"/>
          <c:showCatName val="0"/>
          <c:showSerName val="0"/>
          <c:showPercent val="0"/>
          <c:showBubbleSize val="0"/>
        </c:dLbls>
        <c:marker val="1"/>
        <c:smooth val="0"/>
        <c:axId val="48651264"/>
        <c:axId val="48669440"/>
      </c:lineChart>
      <c:catAx>
        <c:axId val="48647552"/>
        <c:scaling>
          <c:orientation val="minMax"/>
        </c:scaling>
        <c:delete val="0"/>
        <c:axPos val="b"/>
        <c:majorTickMark val="in"/>
        <c:minorTickMark val="none"/>
        <c:tickLblPos val="none"/>
        <c:spPr>
          <a:ln w="3175">
            <a:solidFill>
              <a:srgbClr val="000000"/>
            </a:solidFill>
            <a:prstDash val="solid"/>
          </a:ln>
        </c:spPr>
        <c:crossAx val="48649728"/>
        <c:crosses val="autoZero"/>
        <c:auto val="0"/>
        <c:lblAlgn val="ctr"/>
        <c:lblOffset val="100"/>
        <c:tickLblSkip val="10"/>
        <c:tickMarkSkip val="1"/>
        <c:noMultiLvlLbl val="0"/>
      </c:catAx>
      <c:valAx>
        <c:axId val="48649728"/>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48647552"/>
        <c:crosses val="autoZero"/>
        <c:crossBetween val="between"/>
      </c:valAx>
      <c:catAx>
        <c:axId val="48651264"/>
        <c:scaling>
          <c:orientation val="minMax"/>
        </c:scaling>
        <c:delete val="1"/>
        <c:axPos val="b"/>
        <c:majorTickMark val="out"/>
        <c:minorTickMark val="none"/>
        <c:tickLblPos val="none"/>
        <c:crossAx val="48669440"/>
        <c:crosses val="autoZero"/>
        <c:auto val="0"/>
        <c:lblAlgn val="ctr"/>
        <c:lblOffset val="100"/>
        <c:noMultiLvlLbl val="0"/>
      </c:catAx>
      <c:valAx>
        <c:axId val="48669440"/>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48651264"/>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0EDF-4AED-A2E5-ECF1D33E5ED8}"/>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0EDF-4AED-A2E5-ECF1D33E5ED8}"/>
            </c:ext>
          </c:extLst>
        </c:ser>
        <c:dLbls>
          <c:showLegendKey val="0"/>
          <c:showVal val="0"/>
          <c:showCatName val="0"/>
          <c:showSerName val="0"/>
          <c:showPercent val="0"/>
          <c:showBubbleSize val="0"/>
        </c:dLbls>
        <c:gapWidth val="150"/>
        <c:axId val="48688128"/>
        <c:axId val="48702592"/>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0EDF-4AED-A2E5-ECF1D33E5ED8}"/>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0EDF-4AED-A2E5-ECF1D33E5ED8}"/>
            </c:ext>
          </c:extLst>
        </c:ser>
        <c:dLbls>
          <c:showLegendKey val="0"/>
          <c:showVal val="0"/>
          <c:showCatName val="0"/>
          <c:showSerName val="0"/>
          <c:showPercent val="0"/>
          <c:showBubbleSize val="0"/>
        </c:dLbls>
        <c:marker val="1"/>
        <c:smooth val="0"/>
        <c:axId val="48704128"/>
        <c:axId val="48710016"/>
      </c:lineChart>
      <c:catAx>
        <c:axId val="48688128"/>
        <c:scaling>
          <c:orientation val="minMax"/>
        </c:scaling>
        <c:delete val="0"/>
        <c:axPos val="b"/>
        <c:majorTickMark val="in"/>
        <c:minorTickMark val="none"/>
        <c:tickLblPos val="none"/>
        <c:spPr>
          <a:ln w="3175">
            <a:solidFill>
              <a:srgbClr val="000000"/>
            </a:solidFill>
            <a:prstDash val="solid"/>
          </a:ln>
        </c:spPr>
        <c:crossAx val="48702592"/>
        <c:crosses val="autoZero"/>
        <c:auto val="0"/>
        <c:lblAlgn val="ctr"/>
        <c:lblOffset val="100"/>
        <c:tickMarkSkip val="1"/>
        <c:noMultiLvlLbl val="0"/>
      </c:catAx>
      <c:valAx>
        <c:axId val="48702592"/>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48688128"/>
        <c:crosses val="autoZero"/>
        <c:crossBetween val="between"/>
        <c:majorUnit val="500"/>
      </c:valAx>
      <c:catAx>
        <c:axId val="48704128"/>
        <c:scaling>
          <c:orientation val="minMax"/>
        </c:scaling>
        <c:delete val="1"/>
        <c:axPos val="b"/>
        <c:majorTickMark val="out"/>
        <c:minorTickMark val="none"/>
        <c:tickLblPos val="none"/>
        <c:crossAx val="48710016"/>
        <c:crosses val="autoZero"/>
        <c:auto val="0"/>
        <c:lblAlgn val="ctr"/>
        <c:lblOffset val="100"/>
        <c:noMultiLvlLbl val="0"/>
      </c:catAx>
      <c:valAx>
        <c:axId val="48710016"/>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48704128"/>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9298-416D-8A00-F02D3BBA7C3A}"/>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9298-416D-8A00-F02D3BBA7C3A}"/>
            </c:ext>
          </c:extLst>
        </c:ser>
        <c:dLbls>
          <c:showLegendKey val="0"/>
          <c:showVal val="0"/>
          <c:showCatName val="0"/>
          <c:showSerName val="0"/>
          <c:showPercent val="0"/>
          <c:showBubbleSize val="0"/>
        </c:dLbls>
        <c:gapWidth val="150"/>
        <c:axId val="48740992"/>
        <c:axId val="48751360"/>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9298-416D-8A00-F02D3BBA7C3A}"/>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9298-416D-8A00-F02D3BBA7C3A}"/>
            </c:ext>
          </c:extLst>
        </c:ser>
        <c:dLbls>
          <c:showLegendKey val="0"/>
          <c:showVal val="0"/>
          <c:showCatName val="0"/>
          <c:showSerName val="0"/>
          <c:showPercent val="0"/>
          <c:showBubbleSize val="0"/>
        </c:dLbls>
        <c:marker val="1"/>
        <c:smooth val="0"/>
        <c:axId val="48752896"/>
        <c:axId val="81137664"/>
      </c:lineChart>
      <c:catAx>
        <c:axId val="48740992"/>
        <c:scaling>
          <c:orientation val="minMax"/>
        </c:scaling>
        <c:delete val="0"/>
        <c:axPos val="b"/>
        <c:majorTickMark val="in"/>
        <c:minorTickMark val="none"/>
        <c:tickLblPos val="none"/>
        <c:spPr>
          <a:ln w="3175">
            <a:solidFill>
              <a:srgbClr val="000000"/>
            </a:solidFill>
            <a:prstDash val="solid"/>
          </a:ln>
        </c:spPr>
        <c:crossAx val="48751360"/>
        <c:crosses val="autoZero"/>
        <c:auto val="0"/>
        <c:lblAlgn val="ctr"/>
        <c:lblOffset val="100"/>
        <c:tickMarkSkip val="1"/>
        <c:noMultiLvlLbl val="0"/>
      </c:catAx>
      <c:valAx>
        <c:axId val="48751360"/>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48740992"/>
        <c:crosses val="autoZero"/>
        <c:crossBetween val="between"/>
        <c:majorUnit val="25"/>
      </c:valAx>
      <c:catAx>
        <c:axId val="48752896"/>
        <c:scaling>
          <c:orientation val="minMax"/>
        </c:scaling>
        <c:delete val="1"/>
        <c:axPos val="b"/>
        <c:majorTickMark val="out"/>
        <c:minorTickMark val="none"/>
        <c:tickLblPos val="none"/>
        <c:crossAx val="81137664"/>
        <c:crosses val="autoZero"/>
        <c:auto val="0"/>
        <c:lblAlgn val="ctr"/>
        <c:lblOffset val="100"/>
        <c:noMultiLvlLbl val="0"/>
      </c:catAx>
      <c:valAx>
        <c:axId val="81137664"/>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48752896"/>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F919-4D0B-9FF9-6897855EB4F4}"/>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F919-4D0B-9FF9-6897855EB4F4}"/>
            </c:ext>
          </c:extLst>
        </c:ser>
        <c:dLbls>
          <c:showLegendKey val="0"/>
          <c:showVal val="0"/>
          <c:showCatName val="0"/>
          <c:showSerName val="0"/>
          <c:showPercent val="0"/>
          <c:showBubbleSize val="0"/>
        </c:dLbls>
        <c:gapWidth val="150"/>
        <c:axId val="81172736"/>
        <c:axId val="81179008"/>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F919-4D0B-9FF9-6897855EB4F4}"/>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F919-4D0B-9FF9-6897855EB4F4}"/>
            </c:ext>
          </c:extLst>
        </c:ser>
        <c:dLbls>
          <c:showLegendKey val="0"/>
          <c:showVal val="0"/>
          <c:showCatName val="0"/>
          <c:showSerName val="0"/>
          <c:showPercent val="0"/>
          <c:showBubbleSize val="0"/>
        </c:dLbls>
        <c:marker val="1"/>
        <c:smooth val="0"/>
        <c:axId val="81180544"/>
        <c:axId val="81182080"/>
      </c:lineChart>
      <c:catAx>
        <c:axId val="81172736"/>
        <c:scaling>
          <c:orientation val="minMax"/>
        </c:scaling>
        <c:delete val="0"/>
        <c:axPos val="b"/>
        <c:majorTickMark val="in"/>
        <c:minorTickMark val="none"/>
        <c:tickLblPos val="none"/>
        <c:spPr>
          <a:ln w="3175">
            <a:solidFill>
              <a:srgbClr val="000000"/>
            </a:solidFill>
            <a:prstDash val="solid"/>
          </a:ln>
        </c:spPr>
        <c:crossAx val="81179008"/>
        <c:crosses val="autoZero"/>
        <c:auto val="0"/>
        <c:lblAlgn val="ctr"/>
        <c:lblOffset val="100"/>
        <c:tickLblSkip val="10"/>
        <c:tickMarkSkip val="1"/>
        <c:noMultiLvlLbl val="0"/>
      </c:catAx>
      <c:valAx>
        <c:axId val="81179008"/>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1172736"/>
        <c:crosses val="autoZero"/>
        <c:crossBetween val="between"/>
      </c:valAx>
      <c:catAx>
        <c:axId val="81180544"/>
        <c:scaling>
          <c:orientation val="minMax"/>
        </c:scaling>
        <c:delete val="1"/>
        <c:axPos val="b"/>
        <c:majorTickMark val="out"/>
        <c:minorTickMark val="none"/>
        <c:tickLblPos val="none"/>
        <c:crossAx val="81182080"/>
        <c:crosses val="autoZero"/>
        <c:auto val="0"/>
        <c:lblAlgn val="ctr"/>
        <c:lblOffset val="100"/>
        <c:noMultiLvlLbl val="0"/>
      </c:catAx>
      <c:valAx>
        <c:axId val="81182080"/>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1180544"/>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75" b="1" i="0" u="none" strike="noStrike" baseline="0">
                <a:solidFill>
                  <a:srgbClr val="000000"/>
                </a:solidFill>
                <a:latin typeface="ＭＳ Ｐゴシック"/>
                <a:ea typeface="ＭＳ Ｐゴシック"/>
                <a:cs typeface="ＭＳ Ｐゴシック"/>
              </a:defRPr>
            </a:pPr>
            <a:r>
              <a:rPr lang="en-US"/>
              <a:t>PB Curve</a:t>
            </a:r>
          </a:p>
        </c:rich>
      </c:tx>
      <c:layout>
        <c:manualLayout>
          <c:xMode val="edge"/>
          <c:yMode val="edge"/>
          <c:x val="0.45543823442745501"/>
          <c:y val="2.7419354838709678E-2"/>
        </c:manualLayout>
      </c:layout>
      <c:overlay val="0"/>
      <c:spPr>
        <a:noFill/>
        <a:ln w="25400">
          <a:noFill/>
        </a:ln>
      </c:spPr>
    </c:title>
    <c:autoTitleDeleted val="0"/>
    <c:plotArea>
      <c:layout>
        <c:manualLayout>
          <c:layoutTarget val="inner"/>
          <c:xMode val="edge"/>
          <c:yMode val="edge"/>
          <c:x val="8.9123899937710929E-2"/>
          <c:y val="0.12096774193548387"/>
          <c:w val="0.83459245280653027"/>
          <c:h val="0.67903225806451617"/>
        </c:manualLayout>
      </c:layout>
      <c:lineChart>
        <c:grouping val="standard"/>
        <c:varyColors val="0"/>
        <c:ser>
          <c:idx val="2"/>
          <c:order val="0"/>
          <c:tx>
            <c:strRef>
              <c:f>'PB Curve'!$B$42</c:f>
              <c:strCache>
                <c:ptCount val="1"/>
                <c:pt idx="0">
                  <c:v>Remained Test Cases (plan)</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numRef>
              <c:f>'PB Curve'!$C$41:$AF$41</c:f>
              <c:numCache>
                <c:formatCode>m/d;@</c:formatCode>
                <c:ptCount val="30"/>
                <c:pt idx="0">
                  <c:v>45524</c:v>
                </c:pt>
                <c:pt idx="1">
                  <c:v>45531</c:v>
                </c:pt>
                <c:pt idx="2">
                  <c:v>45538</c:v>
                </c:pt>
                <c:pt idx="3">
                  <c:v>45545</c:v>
                </c:pt>
                <c:pt idx="4">
                  <c:v>45552</c:v>
                </c:pt>
                <c:pt idx="5">
                  <c:v>45559</c:v>
                </c:pt>
                <c:pt idx="6">
                  <c:v>45566</c:v>
                </c:pt>
                <c:pt idx="7">
                  <c:v>45573</c:v>
                </c:pt>
                <c:pt idx="8">
                  <c:v>45580</c:v>
                </c:pt>
                <c:pt idx="9">
                  <c:v>45587</c:v>
                </c:pt>
                <c:pt idx="10">
                  <c:v>45594</c:v>
                </c:pt>
                <c:pt idx="11">
                  <c:v>45601</c:v>
                </c:pt>
                <c:pt idx="12">
                  <c:v>45608</c:v>
                </c:pt>
                <c:pt idx="13">
                  <c:v>45615</c:v>
                </c:pt>
                <c:pt idx="14">
                  <c:v>45622</c:v>
                </c:pt>
                <c:pt idx="15">
                  <c:v>45629</c:v>
                </c:pt>
                <c:pt idx="16">
                  <c:v>45636</c:v>
                </c:pt>
                <c:pt idx="17">
                  <c:v>45643</c:v>
                </c:pt>
                <c:pt idx="18">
                  <c:v>45650</c:v>
                </c:pt>
                <c:pt idx="19">
                  <c:v>45657</c:v>
                </c:pt>
                <c:pt idx="20">
                  <c:v>45664</c:v>
                </c:pt>
                <c:pt idx="21">
                  <c:v>45671</c:v>
                </c:pt>
                <c:pt idx="22">
                  <c:v>45678</c:v>
                </c:pt>
                <c:pt idx="23">
                  <c:v>45685</c:v>
                </c:pt>
                <c:pt idx="24">
                  <c:v>45692</c:v>
                </c:pt>
                <c:pt idx="25">
                  <c:v>45699</c:v>
                </c:pt>
                <c:pt idx="26">
                  <c:v>45706</c:v>
                </c:pt>
                <c:pt idx="27">
                  <c:v>45713</c:v>
                </c:pt>
                <c:pt idx="28">
                  <c:v>45720</c:v>
                </c:pt>
                <c:pt idx="29">
                  <c:v>45727</c:v>
                </c:pt>
              </c:numCache>
            </c:numRef>
          </c:cat>
          <c:val>
            <c:numRef>
              <c:f>'PB Curve'!$C$42:$AF$42</c:f>
              <c:numCache>
                <c:formatCode>General</c:formatCode>
                <c:ptCount val="30"/>
                <c:pt idx="0">
                  <c:v>779</c:v>
                </c:pt>
                <c:pt idx="1">
                  <c:v>779</c:v>
                </c:pt>
                <c:pt idx="2">
                  <c:v>779</c:v>
                </c:pt>
                <c:pt idx="3">
                  <c:v>779</c:v>
                </c:pt>
                <c:pt idx="4">
                  <c:v>752</c:v>
                </c:pt>
                <c:pt idx="5">
                  <c:v>542</c:v>
                </c:pt>
                <c:pt idx="6">
                  <c:v>422</c:v>
                </c:pt>
                <c:pt idx="7">
                  <c:v>330</c:v>
                </c:pt>
                <c:pt idx="8">
                  <c:v>241</c:v>
                </c:pt>
                <c:pt idx="9">
                  <c:v>140</c:v>
                </c:pt>
                <c:pt idx="10">
                  <c:v>7</c:v>
                </c:pt>
                <c:pt idx="11">
                  <c:v>-27</c:v>
                </c:pt>
                <c:pt idx="12">
                  <c:v>-27</c:v>
                </c:pt>
                <c:pt idx="13">
                  <c:v>-27</c:v>
                </c:pt>
                <c:pt idx="14">
                  <c:v>-27</c:v>
                </c:pt>
                <c:pt idx="15">
                  <c:v>-27</c:v>
                </c:pt>
                <c:pt idx="16">
                  <c:v>-27</c:v>
                </c:pt>
                <c:pt idx="17">
                  <c:v>-27</c:v>
                </c:pt>
                <c:pt idx="18">
                  <c:v>-27</c:v>
                </c:pt>
                <c:pt idx="19">
                  <c:v>-27</c:v>
                </c:pt>
                <c:pt idx="20">
                  <c:v>-27</c:v>
                </c:pt>
                <c:pt idx="21">
                  <c:v>-27</c:v>
                </c:pt>
                <c:pt idx="22">
                  <c:v>-27</c:v>
                </c:pt>
                <c:pt idx="23">
                  <c:v>-27</c:v>
                </c:pt>
                <c:pt idx="24">
                  <c:v>-27</c:v>
                </c:pt>
                <c:pt idx="25">
                  <c:v>-27</c:v>
                </c:pt>
                <c:pt idx="26">
                  <c:v>-27</c:v>
                </c:pt>
                <c:pt idx="27">
                  <c:v>-27</c:v>
                </c:pt>
                <c:pt idx="28">
                  <c:v>-27</c:v>
                </c:pt>
                <c:pt idx="29">
                  <c:v>-27</c:v>
                </c:pt>
              </c:numCache>
            </c:numRef>
          </c:val>
          <c:smooth val="0"/>
          <c:extLst>
            <c:ext xmlns:c16="http://schemas.microsoft.com/office/drawing/2014/chart" uri="{C3380CC4-5D6E-409C-BE32-E72D297353CC}">
              <c16:uniqueId val="{00000000-0511-4E70-B0B9-94BF9E430EC9}"/>
            </c:ext>
          </c:extLst>
        </c:ser>
        <c:ser>
          <c:idx val="3"/>
          <c:order val="1"/>
          <c:tx>
            <c:strRef>
              <c:f>'PB Curve'!$B$43</c:f>
              <c:strCache>
                <c:ptCount val="1"/>
                <c:pt idx="0">
                  <c:v>Remained Test Cases (result)</c:v>
                </c:pt>
              </c:strCache>
            </c:strRef>
          </c:tx>
          <c:spPr>
            <a:ln w="12700">
              <a:solidFill>
                <a:srgbClr val="00FFFF"/>
              </a:solidFill>
              <a:prstDash val="solid"/>
            </a:ln>
          </c:spPr>
          <c:marker>
            <c:symbol val="x"/>
            <c:size val="5"/>
            <c:spPr>
              <a:noFill/>
              <a:ln>
                <a:solidFill>
                  <a:srgbClr val="00FFFF"/>
                </a:solidFill>
                <a:prstDash val="solid"/>
              </a:ln>
            </c:spPr>
          </c:marker>
          <c:cat>
            <c:numRef>
              <c:f>'PB Curve'!$C$41:$AF$41</c:f>
              <c:numCache>
                <c:formatCode>m/d;@</c:formatCode>
                <c:ptCount val="30"/>
                <c:pt idx="0">
                  <c:v>45524</c:v>
                </c:pt>
                <c:pt idx="1">
                  <c:v>45531</c:v>
                </c:pt>
                <c:pt idx="2">
                  <c:v>45538</c:v>
                </c:pt>
                <c:pt idx="3">
                  <c:v>45545</c:v>
                </c:pt>
                <c:pt idx="4">
                  <c:v>45552</c:v>
                </c:pt>
                <c:pt idx="5">
                  <c:v>45559</c:v>
                </c:pt>
                <c:pt idx="6">
                  <c:v>45566</c:v>
                </c:pt>
                <c:pt idx="7">
                  <c:v>45573</c:v>
                </c:pt>
                <c:pt idx="8">
                  <c:v>45580</c:v>
                </c:pt>
                <c:pt idx="9">
                  <c:v>45587</c:v>
                </c:pt>
                <c:pt idx="10">
                  <c:v>45594</c:v>
                </c:pt>
                <c:pt idx="11">
                  <c:v>45601</c:v>
                </c:pt>
                <c:pt idx="12">
                  <c:v>45608</c:v>
                </c:pt>
                <c:pt idx="13">
                  <c:v>45615</c:v>
                </c:pt>
                <c:pt idx="14">
                  <c:v>45622</c:v>
                </c:pt>
                <c:pt idx="15">
                  <c:v>45629</c:v>
                </c:pt>
                <c:pt idx="16">
                  <c:v>45636</c:v>
                </c:pt>
                <c:pt idx="17">
                  <c:v>45643</c:v>
                </c:pt>
                <c:pt idx="18">
                  <c:v>45650</c:v>
                </c:pt>
                <c:pt idx="19">
                  <c:v>45657</c:v>
                </c:pt>
                <c:pt idx="20">
                  <c:v>45664</c:v>
                </c:pt>
                <c:pt idx="21">
                  <c:v>45671</c:v>
                </c:pt>
                <c:pt idx="22">
                  <c:v>45678</c:v>
                </c:pt>
                <c:pt idx="23">
                  <c:v>45685</c:v>
                </c:pt>
                <c:pt idx="24">
                  <c:v>45692</c:v>
                </c:pt>
                <c:pt idx="25">
                  <c:v>45699</c:v>
                </c:pt>
                <c:pt idx="26">
                  <c:v>45706</c:v>
                </c:pt>
                <c:pt idx="27">
                  <c:v>45713</c:v>
                </c:pt>
                <c:pt idx="28">
                  <c:v>45720</c:v>
                </c:pt>
                <c:pt idx="29">
                  <c:v>45727</c:v>
                </c:pt>
              </c:numCache>
            </c:numRef>
          </c:cat>
          <c:val>
            <c:numRef>
              <c:f>'PB Curve'!$C$43:$AF$43</c:f>
              <c:numCache>
                <c:formatCode>General</c:formatCode>
                <c:ptCount val="30"/>
                <c:pt idx="0">
                  <c:v>779</c:v>
                </c:pt>
                <c:pt idx="1">
                  <c:v>779</c:v>
                </c:pt>
                <c:pt idx="2">
                  <c:v>779</c:v>
                </c:pt>
                <c:pt idx="3">
                  <c:v>779</c:v>
                </c:pt>
                <c:pt idx="4">
                  <c:v>752</c:v>
                </c:pt>
                <c:pt idx="5">
                  <c:v>542</c:v>
                </c:pt>
                <c:pt idx="6">
                  <c:v>422</c:v>
                </c:pt>
                <c:pt idx="7">
                  <c:v>422</c:v>
                </c:pt>
                <c:pt idx="8">
                  <c:v>422</c:v>
                </c:pt>
                <c:pt idx="9">
                  <c:v>422</c:v>
                </c:pt>
                <c:pt idx="10">
                  <c:v>422</c:v>
                </c:pt>
                <c:pt idx="11">
                  <c:v>422</c:v>
                </c:pt>
                <c:pt idx="12">
                  <c:v>422</c:v>
                </c:pt>
                <c:pt idx="13">
                  <c:v>422</c:v>
                </c:pt>
                <c:pt idx="14">
                  <c:v>422</c:v>
                </c:pt>
                <c:pt idx="15">
                  <c:v>422</c:v>
                </c:pt>
                <c:pt idx="16">
                  <c:v>422</c:v>
                </c:pt>
                <c:pt idx="17">
                  <c:v>422</c:v>
                </c:pt>
                <c:pt idx="18">
                  <c:v>422</c:v>
                </c:pt>
                <c:pt idx="19">
                  <c:v>422</c:v>
                </c:pt>
                <c:pt idx="20">
                  <c:v>422</c:v>
                </c:pt>
                <c:pt idx="21">
                  <c:v>422</c:v>
                </c:pt>
                <c:pt idx="22">
                  <c:v>422</c:v>
                </c:pt>
                <c:pt idx="23">
                  <c:v>422</c:v>
                </c:pt>
                <c:pt idx="24">
                  <c:v>422</c:v>
                </c:pt>
                <c:pt idx="25">
                  <c:v>422</c:v>
                </c:pt>
                <c:pt idx="26">
                  <c:v>422</c:v>
                </c:pt>
                <c:pt idx="27">
                  <c:v>422</c:v>
                </c:pt>
                <c:pt idx="28">
                  <c:v>422</c:v>
                </c:pt>
                <c:pt idx="29">
                  <c:v>422</c:v>
                </c:pt>
              </c:numCache>
            </c:numRef>
          </c:val>
          <c:smooth val="0"/>
          <c:extLst>
            <c:ext xmlns:c16="http://schemas.microsoft.com/office/drawing/2014/chart" uri="{C3380CC4-5D6E-409C-BE32-E72D297353CC}">
              <c16:uniqueId val="{00000001-0511-4E70-B0B9-94BF9E430EC9}"/>
            </c:ext>
          </c:extLst>
        </c:ser>
        <c:dLbls>
          <c:showLegendKey val="0"/>
          <c:showVal val="0"/>
          <c:showCatName val="0"/>
          <c:showSerName val="0"/>
          <c:showPercent val="0"/>
          <c:showBubbleSize val="0"/>
        </c:dLbls>
        <c:marker val="1"/>
        <c:smooth val="0"/>
        <c:axId val="72695808"/>
        <c:axId val="72698112"/>
      </c:lineChart>
      <c:lineChart>
        <c:grouping val="standard"/>
        <c:varyColors val="0"/>
        <c:ser>
          <c:idx val="0"/>
          <c:order val="2"/>
          <c:tx>
            <c:strRef>
              <c:f>'PB Curve'!$B$45</c:f>
              <c:strCache>
                <c:ptCount val="1"/>
                <c:pt idx="0">
                  <c:v>Inc-Detected (standard)</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'PB Curve'!$C$41:$AF$41</c:f>
              <c:numCache>
                <c:formatCode>m/d;@</c:formatCode>
                <c:ptCount val="30"/>
                <c:pt idx="0">
                  <c:v>45524</c:v>
                </c:pt>
                <c:pt idx="1">
                  <c:v>45531</c:v>
                </c:pt>
                <c:pt idx="2">
                  <c:v>45538</c:v>
                </c:pt>
                <c:pt idx="3">
                  <c:v>45545</c:v>
                </c:pt>
                <c:pt idx="4">
                  <c:v>45552</c:v>
                </c:pt>
                <c:pt idx="5">
                  <c:v>45559</c:v>
                </c:pt>
                <c:pt idx="6">
                  <c:v>45566</c:v>
                </c:pt>
                <c:pt idx="7">
                  <c:v>45573</c:v>
                </c:pt>
                <c:pt idx="8">
                  <c:v>45580</c:v>
                </c:pt>
                <c:pt idx="9">
                  <c:v>45587</c:v>
                </c:pt>
                <c:pt idx="10">
                  <c:v>45594</c:v>
                </c:pt>
                <c:pt idx="11">
                  <c:v>45601</c:v>
                </c:pt>
                <c:pt idx="12">
                  <c:v>45608</c:v>
                </c:pt>
                <c:pt idx="13">
                  <c:v>45615</c:v>
                </c:pt>
                <c:pt idx="14">
                  <c:v>45622</c:v>
                </c:pt>
                <c:pt idx="15">
                  <c:v>45629</c:v>
                </c:pt>
                <c:pt idx="16">
                  <c:v>45636</c:v>
                </c:pt>
                <c:pt idx="17">
                  <c:v>45643</c:v>
                </c:pt>
                <c:pt idx="18">
                  <c:v>45650</c:v>
                </c:pt>
                <c:pt idx="19">
                  <c:v>45657</c:v>
                </c:pt>
                <c:pt idx="20">
                  <c:v>45664</c:v>
                </c:pt>
                <c:pt idx="21">
                  <c:v>45671</c:v>
                </c:pt>
                <c:pt idx="22">
                  <c:v>45678</c:v>
                </c:pt>
                <c:pt idx="23">
                  <c:v>45685</c:v>
                </c:pt>
                <c:pt idx="24">
                  <c:v>45692</c:v>
                </c:pt>
                <c:pt idx="25">
                  <c:v>45699</c:v>
                </c:pt>
                <c:pt idx="26">
                  <c:v>45706</c:v>
                </c:pt>
                <c:pt idx="27">
                  <c:v>45713</c:v>
                </c:pt>
                <c:pt idx="28">
                  <c:v>45720</c:v>
                </c:pt>
                <c:pt idx="29">
                  <c:v>45727</c:v>
                </c:pt>
              </c:numCache>
            </c:numRef>
          </c:cat>
          <c:val>
            <c:numRef>
              <c:f>'PB Curve'!$C$45:$AF$45</c:f>
              <c:numCache>
                <c:formatCode>General</c:formatCode>
                <c:ptCount val="30"/>
                <c:pt idx="0">
                  <c:v>0</c:v>
                </c:pt>
                <c:pt idx="1">
                  <c:v>0</c:v>
                </c:pt>
                <c:pt idx="2">
                  <c:v>0</c:v>
                </c:pt>
                <c:pt idx="3">
                  <c:v>0</c:v>
                </c:pt>
                <c:pt idx="4">
                  <c:v>9</c:v>
                </c:pt>
                <c:pt idx="5">
                  <c:v>72</c:v>
                </c:pt>
                <c:pt idx="6">
                  <c:v>108</c:v>
                </c:pt>
                <c:pt idx="7">
                  <c:v>108</c:v>
                </c:pt>
                <c:pt idx="8">
                  <c:v>108</c:v>
                </c:pt>
                <c:pt idx="9">
                  <c:v>108</c:v>
                </c:pt>
                <c:pt idx="10">
                  <c:v>108</c:v>
                </c:pt>
                <c:pt idx="11">
                  <c:v>108</c:v>
                </c:pt>
                <c:pt idx="12">
                  <c:v>108</c:v>
                </c:pt>
                <c:pt idx="13">
                  <c:v>108</c:v>
                </c:pt>
                <c:pt idx="14">
                  <c:v>108</c:v>
                </c:pt>
                <c:pt idx="15">
                  <c:v>108</c:v>
                </c:pt>
                <c:pt idx="16">
                  <c:v>108</c:v>
                </c:pt>
                <c:pt idx="17">
                  <c:v>108</c:v>
                </c:pt>
                <c:pt idx="18">
                  <c:v>108</c:v>
                </c:pt>
                <c:pt idx="19">
                  <c:v>108</c:v>
                </c:pt>
                <c:pt idx="20">
                  <c:v>108</c:v>
                </c:pt>
                <c:pt idx="21">
                  <c:v>108</c:v>
                </c:pt>
                <c:pt idx="22">
                  <c:v>108</c:v>
                </c:pt>
                <c:pt idx="23">
                  <c:v>108</c:v>
                </c:pt>
                <c:pt idx="24">
                  <c:v>108</c:v>
                </c:pt>
                <c:pt idx="25">
                  <c:v>108</c:v>
                </c:pt>
                <c:pt idx="26">
                  <c:v>108</c:v>
                </c:pt>
                <c:pt idx="27">
                  <c:v>108</c:v>
                </c:pt>
                <c:pt idx="28">
                  <c:v>108</c:v>
                </c:pt>
                <c:pt idx="29">
                  <c:v>108</c:v>
                </c:pt>
              </c:numCache>
            </c:numRef>
          </c:val>
          <c:smooth val="0"/>
          <c:extLst>
            <c:ext xmlns:c16="http://schemas.microsoft.com/office/drawing/2014/chart" uri="{C3380CC4-5D6E-409C-BE32-E72D297353CC}">
              <c16:uniqueId val="{00000002-0511-4E70-B0B9-94BF9E430EC9}"/>
            </c:ext>
          </c:extLst>
        </c:ser>
        <c:ser>
          <c:idx val="1"/>
          <c:order val="3"/>
          <c:tx>
            <c:strRef>
              <c:f>'PB Curve'!$B$46</c:f>
              <c:strCache>
                <c:ptCount val="1"/>
                <c:pt idx="0">
                  <c:v>Inc detected (accum)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numRef>
              <c:f>'PB Curve'!$C$41:$AF$41</c:f>
              <c:numCache>
                <c:formatCode>m/d;@</c:formatCode>
                <c:ptCount val="30"/>
                <c:pt idx="0">
                  <c:v>45524</c:v>
                </c:pt>
                <c:pt idx="1">
                  <c:v>45531</c:v>
                </c:pt>
                <c:pt idx="2">
                  <c:v>45538</c:v>
                </c:pt>
                <c:pt idx="3">
                  <c:v>45545</c:v>
                </c:pt>
                <c:pt idx="4">
                  <c:v>45552</c:v>
                </c:pt>
                <c:pt idx="5">
                  <c:v>45559</c:v>
                </c:pt>
                <c:pt idx="6">
                  <c:v>45566</c:v>
                </c:pt>
                <c:pt idx="7">
                  <c:v>45573</c:v>
                </c:pt>
                <c:pt idx="8">
                  <c:v>45580</c:v>
                </c:pt>
                <c:pt idx="9">
                  <c:v>45587</c:v>
                </c:pt>
                <c:pt idx="10">
                  <c:v>45594</c:v>
                </c:pt>
                <c:pt idx="11">
                  <c:v>45601</c:v>
                </c:pt>
                <c:pt idx="12">
                  <c:v>45608</c:v>
                </c:pt>
                <c:pt idx="13">
                  <c:v>45615</c:v>
                </c:pt>
                <c:pt idx="14">
                  <c:v>45622</c:v>
                </c:pt>
                <c:pt idx="15">
                  <c:v>45629</c:v>
                </c:pt>
                <c:pt idx="16">
                  <c:v>45636</c:v>
                </c:pt>
                <c:pt idx="17">
                  <c:v>45643</c:v>
                </c:pt>
                <c:pt idx="18">
                  <c:v>45650</c:v>
                </c:pt>
                <c:pt idx="19">
                  <c:v>45657</c:v>
                </c:pt>
                <c:pt idx="20">
                  <c:v>45664</c:v>
                </c:pt>
                <c:pt idx="21">
                  <c:v>45671</c:v>
                </c:pt>
                <c:pt idx="22">
                  <c:v>45678</c:v>
                </c:pt>
                <c:pt idx="23">
                  <c:v>45685</c:v>
                </c:pt>
                <c:pt idx="24">
                  <c:v>45692</c:v>
                </c:pt>
                <c:pt idx="25">
                  <c:v>45699</c:v>
                </c:pt>
                <c:pt idx="26">
                  <c:v>45706</c:v>
                </c:pt>
                <c:pt idx="27">
                  <c:v>45713</c:v>
                </c:pt>
                <c:pt idx="28">
                  <c:v>45720</c:v>
                </c:pt>
                <c:pt idx="29">
                  <c:v>45727</c:v>
                </c:pt>
              </c:numCache>
            </c:numRef>
          </c:cat>
          <c:val>
            <c:numRef>
              <c:f>'PB Curve'!$C$46:$AF$46</c:f>
              <c:numCache>
                <c:formatCode>General</c:formatCode>
                <c:ptCount val="30"/>
                <c:pt idx="0">
                  <c:v>0</c:v>
                </c:pt>
                <c:pt idx="1">
                  <c:v>0</c:v>
                </c:pt>
                <c:pt idx="2">
                  <c:v>0</c:v>
                </c:pt>
                <c:pt idx="3">
                  <c:v>0</c:v>
                </c:pt>
                <c:pt idx="4">
                  <c:v>5</c:v>
                </c:pt>
                <c:pt idx="5">
                  <c:v>38</c:v>
                </c:pt>
                <c:pt idx="6">
                  <c:v>47</c:v>
                </c:pt>
                <c:pt idx="7">
                  <c:v>47</c:v>
                </c:pt>
                <c:pt idx="8">
                  <c:v>47</c:v>
                </c:pt>
                <c:pt idx="9">
                  <c:v>47</c:v>
                </c:pt>
                <c:pt idx="10">
                  <c:v>47</c:v>
                </c:pt>
                <c:pt idx="11">
                  <c:v>47</c:v>
                </c:pt>
                <c:pt idx="12">
                  <c:v>47</c:v>
                </c:pt>
                <c:pt idx="13">
                  <c:v>47</c:v>
                </c:pt>
                <c:pt idx="14">
                  <c:v>47</c:v>
                </c:pt>
                <c:pt idx="15">
                  <c:v>47</c:v>
                </c:pt>
                <c:pt idx="16">
                  <c:v>47</c:v>
                </c:pt>
                <c:pt idx="17">
                  <c:v>47</c:v>
                </c:pt>
                <c:pt idx="18">
                  <c:v>47</c:v>
                </c:pt>
                <c:pt idx="19">
                  <c:v>47</c:v>
                </c:pt>
                <c:pt idx="20">
                  <c:v>47</c:v>
                </c:pt>
                <c:pt idx="21">
                  <c:v>47</c:v>
                </c:pt>
                <c:pt idx="22">
                  <c:v>47</c:v>
                </c:pt>
                <c:pt idx="23">
                  <c:v>47</c:v>
                </c:pt>
                <c:pt idx="24">
                  <c:v>47</c:v>
                </c:pt>
                <c:pt idx="25">
                  <c:v>47</c:v>
                </c:pt>
                <c:pt idx="26">
                  <c:v>47</c:v>
                </c:pt>
                <c:pt idx="27">
                  <c:v>47</c:v>
                </c:pt>
                <c:pt idx="28">
                  <c:v>47</c:v>
                </c:pt>
                <c:pt idx="29">
                  <c:v>47</c:v>
                </c:pt>
              </c:numCache>
            </c:numRef>
          </c:val>
          <c:smooth val="0"/>
          <c:extLst>
            <c:ext xmlns:c16="http://schemas.microsoft.com/office/drawing/2014/chart" uri="{C3380CC4-5D6E-409C-BE32-E72D297353CC}">
              <c16:uniqueId val="{00000003-0511-4E70-B0B9-94BF9E430EC9}"/>
            </c:ext>
          </c:extLst>
        </c:ser>
        <c:ser>
          <c:idx val="4"/>
          <c:order val="4"/>
          <c:tx>
            <c:strRef>
              <c:f>'PB Curve'!$B$47</c:f>
              <c:strCache>
                <c:ptCount val="1"/>
                <c:pt idx="0">
                  <c:v>Inc fixed (accum)</c:v>
                </c:pt>
              </c:strCache>
            </c:strRef>
          </c:tx>
          <c:spPr>
            <a:ln w="12700">
              <a:solidFill>
                <a:srgbClr val="800080"/>
              </a:solidFill>
              <a:prstDash val="solid"/>
            </a:ln>
          </c:spPr>
          <c:marker>
            <c:symbol val="star"/>
            <c:size val="5"/>
            <c:spPr>
              <a:noFill/>
              <a:ln>
                <a:solidFill>
                  <a:srgbClr val="800080"/>
                </a:solidFill>
                <a:prstDash val="solid"/>
              </a:ln>
            </c:spPr>
          </c:marker>
          <c:cat>
            <c:numRef>
              <c:f>'PB Curve'!$C$41:$AF$41</c:f>
              <c:numCache>
                <c:formatCode>m/d;@</c:formatCode>
                <c:ptCount val="30"/>
                <c:pt idx="0">
                  <c:v>45524</c:v>
                </c:pt>
                <c:pt idx="1">
                  <c:v>45531</c:v>
                </c:pt>
                <c:pt idx="2">
                  <c:v>45538</c:v>
                </c:pt>
                <c:pt idx="3">
                  <c:v>45545</c:v>
                </c:pt>
                <c:pt idx="4">
                  <c:v>45552</c:v>
                </c:pt>
                <c:pt idx="5">
                  <c:v>45559</c:v>
                </c:pt>
                <c:pt idx="6">
                  <c:v>45566</c:v>
                </c:pt>
                <c:pt idx="7">
                  <c:v>45573</c:v>
                </c:pt>
                <c:pt idx="8">
                  <c:v>45580</c:v>
                </c:pt>
                <c:pt idx="9">
                  <c:v>45587</c:v>
                </c:pt>
                <c:pt idx="10">
                  <c:v>45594</c:v>
                </c:pt>
                <c:pt idx="11">
                  <c:v>45601</c:v>
                </c:pt>
                <c:pt idx="12">
                  <c:v>45608</c:v>
                </c:pt>
                <c:pt idx="13">
                  <c:v>45615</c:v>
                </c:pt>
                <c:pt idx="14">
                  <c:v>45622</c:v>
                </c:pt>
                <c:pt idx="15">
                  <c:v>45629</c:v>
                </c:pt>
                <c:pt idx="16">
                  <c:v>45636</c:v>
                </c:pt>
                <c:pt idx="17">
                  <c:v>45643</c:v>
                </c:pt>
                <c:pt idx="18">
                  <c:v>45650</c:v>
                </c:pt>
                <c:pt idx="19">
                  <c:v>45657</c:v>
                </c:pt>
                <c:pt idx="20">
                  <c:v>45664</c:v>
                </c:pt>
                <c:pt idx="21">
                  <c:v>45671</c:v>
                </c:pt>
                <c:pt idx="22">
                  <c:v>45678</c:v>
                </c:pt>
                <c:pt idx="23">
                  <c:v>45685</c:v>
                </c:pt>
                <c:pt idx="24">
                  <c:v>45692</c:v>
                </c:pt>
                <c:pt idx="25">
                  <c:v>45699</c:v>
                </c:pt>
                <c:pt idx="26">
                  <c:v>45706</c:v>
                </c:pt>
                <c:pt idx="27">
                  <c:v>45713</c:v>
                </c:pt>
                <c:pt idx="28">
                  <c:v>45720</c:v>
                </c:pt>
                <c:pt idx="29">
                  <c:v>45727</c:v>
                </c:pt>
              </c:numCache>
            </c:numRef>
          </c:cat>
          <c:val>
            <c:numRef>
              <c:f>'PB Curve'!$C$47:$AF$47</c:f>
              <c:numCache>
                <c:formatCode>General</c:formatCode>
                <c:ptCount val="30"/>
                <c:pt idx="0">
                  <c:v>0</c:v>
                </c:pt>
                <c:pt idx="1">
                  <c:v>0</c:v>
                </c:pt>
                <c:pt idx="2">
                  <c:v>0</c:v>
                </c:pt>
                <c:pt idx="3">
                  <c:v>0</c:v>
                </c:pt>
                <c:pt idx="4">
                  <c:v>5</c:v>
                </c:pt>
                <c:pt idx="5">
                  <c:v>38</c:v>
                </c:pt>
                <c:pt idx="6">
                  <c:v>47</c:v>
                </c:pt>
                <c:pt idx="7">
                  <c:v>47</c:v>
                </c:pt>
                <c:pt idx="8">
                  <c:v>47</c:v>
                </c:pt>
                <c:pt idx="9">
                  <c:v>47</c:v>
                </c:pt>
                <c:pt idx="10">
                  <c:v>47</c:v>
                </c:pt>
                <c:pt idx="11">
                  <c:v>47</c:v>
                </c:pt>
                <c:pt idx="12">
                  <c:v>47</c:v>
                </c:pt>
                <c:pt idx="13">
                  <c:v>47</c:v>
                </c:pt>
                <c:pt idx="14">
                  <c:v>47</c:v>
                </c:pt>
                <c:pt idx="15">
                  <c:v>47</c:v>
                </c:pt>
                <c:pt idx="16">
                  <c:v>47</c:v>
                </c:pt>
                <c:pt idx="17">
                  <c:v>47</c:v>
                </c:pt>
                <c:pt idx="18">
                  <c:v>47</c:v>
                </c:pt>
                <c:pt idx="19">
                  <c:v>47</c:v>
                </c:pt>
                <c:pt idx="20">
                  <c:v>47</c:v>
                </c:pt>
                <c:pt idx="21">
                  <c:v>47</c:v>
                </c:pt>
                <c:pt idx="22">
                  <c:v>47</c:v>
                </c:pt>
                <c:pt idx="23">
                  <c:v>47</c:v>
                </c:pt>
                <c:pt idx="24">
                  <c:v>47</c:v>
                </c:pt>
                <c:pt idx="25">
                  <c:v>47</c:v>
                </c:pt>
                <c:pt idx="26">
                  <c:v>47</c:v>
                </c:pt>
                <c:pt idx="27">
                  <c:v>47</c:v>
                </c:pt>
                <c:pt idx="28">
                  <c:v>47</c:v>
                </c:pt>
                <c:pt idx="29">
                  <c:v>47</c:v>
                </c:pt>
              </c:numCache>
            </c:numRef>
          </c:val>
          <c:smooth val="0"/>
          <c:extLst>
            <c:ext xmlns:c16="http://schemas.microsoft.com/office/drawing/2014/chart" uri="{C3380CC4-5D6E-409C-BE32-E72D297353CC}">
              <c16:uniqueId val="{00000004-0511-4E70-B0B9-94BF9E430EC9}"/>
            </c:ext>
          </c:extLst>
        </c:ser>
        <c:dLbls>
          <c:showLegendKey val="0"/>
          <c:showVal val="0"/>
          <c:showCatName val="0"/>
          <c:showSerName val="0"/>
          <c:showPercent val="0"/>
          <c:showBubbleSize val="0"/>
        </c:dLbls>
        <c:marker val="1"/>
        <c:smooth val="0"/>
        <c:axId val="74019200"/>
        <c:axId val="74020736"/>
      </c:lineChart>
      <c:dateAx>
        <c:axId val="72695808"/>
        <c:scaling>
          <c:orientation val="minMax"/>
        </c:scaling>
        <c:delete val="0"/>
        <c:axPos val="b"/>
        <c:minorGridlines>
          <c:spPr>
            <a:ln w="3175">
              <a:solidFill>
                <a:srgbClr val="000000"/>
              </a:solidFill>
              <a:prstDash val="sysDash"/>
            </a:ln>
          </c:spPr>
        </c:minorGridlines>
        <c:title>
          <c:tx>
            <c:rich>
              <a:bodyPr/>
              <a:lstStyle/>
              <a:p>
                <a:pPr>
                  <a:defRPr sz="1475" b="0" i="0" u="none" strike="noStrike" baseline="0">
                    <a:solidFill>
                      <a:srgbClr val="000000"/>
                    </a:solidFill>
                    <a:latin typeface="ＭＳ Ｐゴシック"/>
                    <a:ea typeface="ＭＳ Ｐゴシック"/>
                    <a:cs typeface="ＭＳ Ｐゴシック"/>
                  </a:defRPr>
                </a:pPr>
                <a:r>
                  <a:rPr lang="en-US"/>
                  <a:t>Date</a:t>
                </a:r>
              </a:p>
            </c:rich>
          </c:tx>
          <c:layout>
            <c:manualLayout>
              <c:xMode val="edge"/>
              <c:yMode val="edge"/>
              <c:x val="0.48867087508219464"/>
              <c:y val="0.90322580645161288"/>
            </c:manualLayout>
          </c:layout>
          <c:overlay val="0"/>
          <c:spPr>
            <a:noFill/>
            <a:ln w="25400">
              <a:noFill/>
            </a:ln>
          </c:spPr>
        </c:title>
        <c:numFmt formatCode="d\-mmm" sourceLinked="0"/>
        <c:majorTickMark val="cross"/>
        <c:minorTickMark val="none"/>
        <c:tickLblPos val="nextTo"/>
        <c:spPr>
          <a:ln w="3175">
            <a:solidFill>
              <a:srgbClr val="000000"/>
            </a:solidFill>
            <a:prstDash val="solid"/>
          </a:ln>
        </c:spPr>
        <c:txPr>
          <a:bodyPr rot="-2700000" vert="horz"/>
          <a:lstStyle/>
          <a:p>
            <a:pPr>
              <a:defRPr sz="1200" b="0" i="0" u="none" strike="noStrike" baseline="0">
                <a:solidFill>
                  <a:srgbClr val="000000"/>
                </a:solidFill>
                <a:latin typeface="ＭＳ Ｐゴシック"/>
                <a:ea typeface="ＭＳ Ｐゴシック"/>
                <a:cs typeface="ＭＳ Ｐゴシック"/>
              </a:defRPr>
            </a:pPr>
            <a:endParaRPr lang="en-US"/>
          </a:p>
        </c:txPr>
        <c:crossAx val="72698112"/>
        <c:crosses val="autoZero"/>
        <c:auto val="1"/>
        <c:lblOffset val="100"/>
        <c:baseTimeUnit val="days"/>
        <c:majorUnit val="7"/>
        <c:majorTimeUnit val="days"/>
        <c:minorUnit val="7"/>
        <c:minorTimeUnit val="days"/>
      </c:dateAx>
      <c:valAx>
        <c:axId val="72698112"/>
        <c:scaling>
          <c:orientation val="minMax"/>
        </c:scaling>
        <c:delete val="0"/>
        <c:axPos val="l"/>
        <c:majorGridlines>
          <c:spPr>
            <a:ln w="3175">
              <a:solidFill>
                <a:srgbClr val="000000"/>
              </a:solidFill>
              <a:prstDash val="sysDash"/>
            </a:ln>
          </c:spPr>
        </c:majorGridlines>
        <c:title>
          <c:tx>
            <c:rich>
              <a:bodyPr/>
              <a:lstStyle/>
              <a:p>
                <a:pPr>
                  <a:defRPr sz="1475" b="0" i="0" u="none" strike="noStrike" baseline="0">
                    <a:solidFill>
                      <a:srgbClr val="000000"/>
                    </a:solidFill>
                    <a:latin typeface="ＭＳ Ｐゴシック"/>
                    <a:ea typeface="ＭＳ Ｐゴシック"/>
                    <a:cs typeface="ＭＳ Ｐゴシック"/>
                  </a:defRPr>
                </a:pPr>
                <a:r>
                  <a:rPr lang="en-US"/>
                  <a:t>Number of Test Cases</a:t>
                </a:r>
              </a:p>
            </c:rich>
          </c:tx>
          <c:layout>
            <c:manualLayout>
              <c:xMode val="edge"/>
              <c:yMode val="edge"/>
              <c:x val="2.945620421670107E-2"/>
              <c:y val="0.3032258064516129"/>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ＭＳ Ｐゴシック"/>
                <a:ea typeface="ＭＳ Ｐゴシック"/>
                <a:cs typeface="ＭＳ Ｐゴシック"/>
              </a:defRPr>
            </a:pPr>
            <a:endParaRPr lang="en-US"/>
          </a:p>
        </c:txPr>
        <c:crossAx val="72695808"/>
        <c:crosses val="autoZero"/>
        <c:crossBetween val="between"/>
      </c:valAx>
      <c:dateAx>
        <c:axId val="74019200"/>
        <c:scaling>
          <c:orientation val="minMax"/>
        </c:scaling>
        <c:delete val="1"/>
        <c:axPos val="b"/>
        <c:numFmt formatCode="m/d;@" sourceLinked="1"/>
        <c:majorTickMark val="out"/>
        <c:minorTickMark val="none"/>
        <c:tickLblPos val="none"/>
        <c:crossAx val="74020736"/>
        <c:crosses val="autoZero"/>
        <c:auto val="1"/>
        <c:lblOffset val="100"/>
        <c:baseTimeUnit val="days"/>
      </c:dateAx>
      <c:valAx>
        <c:axId val="74020736"/>
        <c:scaling>
          <c:orientation val="minMax"/>
        </c:scaling>
        <c:delete val="0"/>
        <c:axPos val="r"/>
        <c:title>
          <c:tx>
            <c:rich>
              <a:bodyPr/>
              <a:lstStyle/>
              <a:p>
                <a:pPr>
                  <a:defRPr sz="1475" b="0" i="0" u="none" strike="noStrike" baseline="0">
                    <a:solidFill>
                      <a:srgbClr val="000000"/>
                    </a:solidFill>
                    <a:latin typeface="ＭＳ Ｐゴシック"/>
                    <a:ea typeface="ＭＳ Ｐゴシック"/>
                    <a:cs typeface="ＭＳ Ｐゴシック"/>
                  </a:defRPr>
                </a:pPr>
                <a:r>
                  <a:rPr lang="en-US"/>
                  <a:t>Number of Incidents</a:t>
                </a:r>
              </a:p>
            </c:rich>
          </c:tx>
          <c:layout>
            <c:manualLayout>
              <c:xMode val="edge"/>
              <c:yMode val="edge"/>
              <c:x val="0.94864083323529591"/>
              <c:y val="0.3193548387096774"/>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ＭＳ Ｐゴシック"/>
                <a:ea typeface="ＭＳ Ｐゴシック"/>
                <a:cs typeface="ＭＳ Ｐゴシック"/>
              </a:defRPr>
            </a:pPr>
            <a:endParaRPr lang="en-US"/>
          </a:p>
        </c:txPr>
        <c:crossAx val="74019200"/>
        <c:crosses val="max"/>
        <c:crossBetween val="between"/>
      </c:valAx>
      <c:spPr>
        <a:solidFill>
          <a:srgbClr val="FFFFFF"/>
        </a:solidFill>
        <a:ln w="12700">
          <a:solidFill>
            <a:srgbClr val="808080"/>
          </a:solidFill>
          <a:prstDash val="solid"/>
        </a:ln>
      </c:spPr>
    </c:plotArea>
    <c:legend>
      <c:legendPos val="r"/>
      <c:layout>
        <c:manualLayout>
          <c:xMode val="edge"/>
          <c:yMode val="edge"/>
          <c:x val="0.73187338169188043"/>
          <c:y val="0.18709677419354839"/>
          <c:w val="0.18126894902585272"/>
          <c:h val="0.17096774193548386"/>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en-US"/>
        </a:p>
      </c:txPr>
    </c:legend>
    <c:plotVisOnly val="1"/>
    <c:dispBlanksAs val="gap"/>
    <c:showDLblsOverMax val="0"/>
  </c:chart>
  <c:spPr>
    <a:solidFill>
      <a:srgbClr val="FFFF99"/>
    </a:solidFill>
    <a:ln w="3175">
      <a:solidFill>
        <a:srgbClr val="000000"/>
      </a:solidFill>
      <a:prstDash val="solid"/>
    </a:ln>
  </c:spPr>
  <c:txPr>
    <a:bodyPr/>
    <a:lstStyle/>
    <a:p>
      <a:pPr>
        <a:defRPr sz="2600" b="0" i="0" u="none" strike="noStrike" baseline="0">
          <a:solidFill>
            <a:srgbClr val="000000"/>
          </a:solidFill>
          <a:latin typeface="ＭＳ Ｐゴシック"/>
          <a:ea typeface="ＭＳ Ｐゴシック"/>
          <a:cs typeface="ＭＳ Ｐゴシック"/>
        </a:defRPr>
      </a:pPr>
      <a:endParaRPr lang="en-US"/>
    </a:p>
  </c:txPr>
  <c:printSettings>
    <c:headerFooter alignWithMargins="0"/>
    <c:pageMargins b="1" l="0.75" r="0.75" t="1" header="0.5" footer="0.5"/>
    <c:pageSetup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84476094815852"/>
          <c:y val="0.21361551316643093"/>
          <c:w val="0.70091402338624542"/>
          <c:h val="0.56807641962940969"/>
        </c:manualLayout>
      </c:layout>
      <c:lineChart>
        <c:grouping val="standard"/>
        <c:varyColors val="0"/>
        <c:ser>
          <c:idx val="0"/>
          <c:order val="0"/>
          <c:tx>
            <c:strRef>
              <c:f>'PB Curve Guideline'!$CE$16</c:f>
              <c:strCache>
                <c:ptCount val="1"/>
                <c:pt idx="0">
                  <c:v>Remained Test Cases (plan)</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'PB Curve Guideline'!$CF$15:$CT$15</c:f>
              <c:numCache>
                <c:formatCode>m/d;@</c:formatCode>
                <c:ptCount val="15"/>
                <c:pt idx="0">
                  <c:v>38516</c:v>
                </c:pt>
                <c:pt idx="1">
                  <c:v>38523</c:v>
                </c:pt>
                <c:pt idx="2">
                  <c:v>38530</c:v>
                </c:pt>
                <c:pt idx="3">
                  <c:v>38537</c:v>
                </c:pt>
                <c:pt idx="4">
                  <c:v>38544</c:v>
                </c:pt>
                <c:pt idx="5">
                  <c:v>38551</c:v>
                </c:pt>
                <c:pt idx="6">
                  <c:v>38558</c:v>
                </c:pt>
                <c:pt idx="7">
                  <c:v>38565</c:v>
                </c:pt>
                <c:pt idx="8">
                  <c:v>38572</c:v>
                </c:pt>
                <c:pt idx="9">
                  <c:v>38579</c:v>
                </c:pt>
                <c:pt idx="10">
                  <c:v>38586</c:v>
                </c:pt>
                <c:pt idx="11">
                  <c:v>38593</c:v>
                </c:pt>
                <c:pt idx="12">
                  <c:v>38600</c:v>
                </c:pt>
                <c:pt idx="13">
                  <c:v>38607</c:v>
                </c:pt>
                <c:pt idx="14">
                  <c:v>38614</c:v>
                </c:pt>
              </c:numCache>
            </c:numRef>
          </c:cat>
          <c:val>
            <c:numRef>
              <c:f>'PB Curve Guideline'!$CF$16:$CT$16</c:f>
              <c:numCache>
                <c:formatCode>General</c:formatCode>
                <c:ptCount val="15"/>
                <c:pt idx="0">
                  <c:v>300</c:v>
                </c:pt>
                <c:pt idx="1">
                  <c:v>290</c:v>
                </c:pt>
                <c:pt idx="2">
                  <c:v>280</c:v>
                </c:pt>
                <c:pt idx="3">
                  <c:v>270</c:v>
                </c:pt>
                <c:pt idx="4">
                  <c:v>240</c:v>
                </c:pt>
                <c:pt idx="5">
                  <c:v>210</c:v>
                </c:pt>
                <c:pt idx="6">
                  <c:v>180</c:v>
                </c:pt>
                <c:pt idx="7">
                  <c:v>150</c:v>
                </c:pt>
                <c:pt idx="8">
                  <c:v>120</c:v>
                </c:pt>
                <c:pt idx="9">
                  <c:v>90</c:v>
                </c:pt>
                <c:pt idx="10">
                  <c:v>60</c:v>
                </c:pt>
                <c:pt idx="11">
                  <c:v>30</c:v>
                </c:pt>
                <c:pt idx="12">
                  <c:v>20</c:v>
                </c:pt>
                <c:pt idx="13">
                  <c:v>10</c:v>
                </c:pt>
                <c:pt idx="14">
                  <c:v>0</c:v>
                </c:pt>
              </c:numCache>
            </c:numRef>
          </c:val>
          <c:smooth val="0"/>
          <c:extLst>
            <c:ext xmlns:c16="http://schemas.microsoft.com/office/drawing/2014/chart" uri="{C3380CC4-5D6E-409C-BE32-E72D297353CC}">
              <c16:uniqueId val="{00000000-1D6B-4C66-A69C-ECB556A86F07}"/>
            </c:ext>
          </c:extLst>
        </c:ser>
        <c:dLbls>
          <c:showLegendKey val="0"/>
          <c:showVal val="0"/>
          <c:showCatName val="0"/>
          <c:showSerName val="0"/>
          <c:showPercent val="0"/>
          <c:showBubbleSize val="0"/>
        </c:dLbls>
        <c:marker val="1"/>
        <c:smooth val="0"/>
        <c:axId val="93051136"/>
        <c:axId val="93053696"/>
      </c:lineChart>
      <c:lineChart>
        <c:grouping val="standard"/>
        <c:varyColors val="0"/>
        <c:ser>
          <c:idx val="1"/>
          <c:order val="1"/>
          <c:tx>
            <c:strRef>
              <c:f>'PB Curve Guideline'!$CE$17</c:f>
              <c:strCache>
                <c:ptCount val="1"/>
                <c:pt idx="0">
                  <c:v>Incident detected (accum)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val>
            <c:numRef>
              <c:f>'PB Curve Guideline'!$CF$17:$CT$17</c:f>
              <c:numCache>
                <c:formatCode>General</c:formatCode>
                <c:ptCount val="15"/>
                <c:pt idx="0">
                  <c:v>0</c:v>
                </c:pt>
                <c:pt idx="1">
                  <c:v>1</c:v>
                </c:pt>
                <c:pt idx="2">
                  <c:v>2</c:v>
                </c:pt>
                <c:pt idx="3">
                  <c:v>3</c:v>
                </c:pt>
                <c:pt idx="4">
                  <c:v>6</c:v>
                </c:pt>
                <c:pt idx="5">
                  <c:v>9</c:v>
                </c:pt>
                <c:pt idx="6">
                  <c:v>12</c:v>
                </c:pt>
                <c:pt idx="7">
                  <c:v>15</c:v>
                </c:pt>
                <c:pt idx="8">
                  <c:v>18</c:v>
                </c:pt>
                <c:pt idx="9">
                  <c:v>21</c:v>
                </c:pt>
                <c:pt idx="10">
                  <c:v>24</c:v>
                </c:pt>
                <c:pt idx="11">
                  <c:v>27</c:v>
                </c:pt>
                <c:pt idx="12">
                  <c:v>28</c:v>
                </c:pt>
                <c:pt idx="13">
                  <c:v>29</c:v>
                </c:pt>
                <c:pt idx="14">
                  <c:v>30</c:v>
                </c:pt>
              </c:numCache>
            </c:numRef>
          </c:val>
          <c:smooth val="0"/>
          <c:extLst>
            <c:ext xmlns:c16="http://schemas.microsoft.com/office/drawing/2014/chart" uri="{C3380CC4-5D6E-409C-BE32-E72D297353CC}">
              <c16:uniqueId val="{00000001-1D6B-4C66-A69C-ECB556A86F07}"/>
            </c:ext>
          </c:extLst>
        </c:ser>
        <c:dLbls>
          <c:showLegendKey val="0"/>
          <c:showVal val="0"/>
          <c:showCatName val="0"/>
          <c:showSerName val="0"/>
          <c:showPercent val="0"/>
          <c:showBubbleSize val="0"/>
        </c:dLbls>
        <c:marker val="1"/>
        <c:smooth val="0"/>
        <c:axId val="93055616"/>
        <c:axId val="94388608"/>
      </c:lineChart>
      <c:dateAx>
        <c:axId val="93051136"/>
        <c:scaling>
          <c:orientation val="minMax"/>
        </c:scaling>
        <c:delete val="1"/>
        <c:axPos val="b"/>
        <c:minorGridlines>
          <c:spPr>
            <a:ln w="3175">
              <a:solidFill>
                <a:srgbClr val="000000"/>
              </a:solidFill>
              <a:prstDash val="sysDash"/>
            </a:ln>
          </c:spPr>
        </c:minorGridlines>
        <c:title>
          <c:tx>
            <c:rich>
              <a:bodyPr/>
              <a:lstStyle/>
              <a:p>
                <a:pPr>
                  <a:defRPr sz="1000" b="0" i="0" u="none" strike="noStrike" baseline="0">
                    <a:solidFill>
                      <a:srgbClr val="000000"/>
                    </a:solidFill>
                    <a:latin typeface="ＭＳ Ｐゴシック"/>
                    <a:ea typeface="ＭＳ Ｐゴシック"/>
                    <a:cs typeface="ＭＳ Ｐゴシック"/>
                  </a:defRPr>
                </a:pPr>
                <a:r>
                  <a:rPr lang="en-US"/>
                  <a:t>Date</a:t>
                </a:r>
              </a:p>
            </c:rich>
          </c:tx>
          <c:layout>
            <c:manualLayout>
              <c:xMode val="edge"/>
              <c:yMode val="edge"/>
              <c:x val="0.44178131441445762"/>
              <c:y val="0.80281874179032287"/>
            </c:manualLayout>
          </c:layout>
          <c:overlay val="0"/>
          <c:spPr>
            <a:noFill/>
            <a:ln w="25400">
              <a:noFill/>
            </a:ln>
          </c:spPr>
        </c:title>
        <c:numFmt formatCode="m/d;@" sourceLinked="1"/>
        <c:majorTickMark val="out"/>
        <c:minorTickMark val="none"/>
        <c:tickLblPos val="none"/>
        <c:crossAx val="93053696"/>
        <c:crosses val="autoZero"/>
        <c:auto val="1"/>
        <c:lblOffset val="100"/>
        <c:baseTimeUnit val="days"/>
        <c:minorUnit val="7"/>
        <c:minorTimeUnit val="days"/>
      </c:dateAx>
      <c:valAx>
        <c:axId val="93053696"/>
        <c:scaling>
          <c:orientation val="minMax"/>
        </c:scaling>
        <c:delete val="0"/>
        <c:axPos val="l"/>
        <c:majorGridlines>
          <c:spPr>
            <a:ln w="3175">
              <a:solidFill>
                <a:srgbClr val="000000"/>
              </a:solidFill>
              <a:prstDash val="sysDash"/>
            </a:ln>
          </c:spPr>
        </c:majorGridlines>
        <c:title>
          <c:tx>
            <c:rich>
              <a:bodyPr/>
              <a:lstStyle/>
              <a:p>
                <a:pPr>
                  <a:defRPr sz="925" b="0" i="0" u="none" strike="noStrike" baseline="0">
                    <a:solidFill>
                      <a:srgbClr val="000000"/>
                    </a:solidFill>
                    <a:latin typeface="ＭＳ Ｐゴシック"/>
                    <a:ea typeface="ＭＳ Ｐゴシック"/>
                    <a:cs typeface="ＭＳ Ｐゴシック"/>
                  </a:defRPr>
                </a:pPr>
                <a:r>
                  <a:rPr lang="en-US"/>
                  <a:t>Number of Test Cases</a:t>
                </a:r>
              </a:p>
            </c:rich>
          </c:tx>
          <c:layout>
            <c:manualLayout>
              <c:xMode val="edge"/>
              <c:yMode val="edge"/>
              <c:x val="5.2511474064767569E-2"/>
              <c:y val="0.35680832968458792"/>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ＭＳ Ｐゴシック"/>
                <a:ea typeface="ＭＳ Ｐゴシック"/>
                <a:cs typeface="ＭＳ Ｐゴシック"/>
              </a:defRPr>
            </a:pPr>
            <a:endParaRPr lang="en-US"/>
          </a:p>
        </c:txPr>
        <c:crossAx val="93051136"/>
        <c:crosses val="autoZero"/>
        <c:crossBetween val="between"/>
      </c:valAx>
      <c:catAx>
        <c:axId val="93055616"/>
        <c:scaling>
          <c:orientation val="minMax"/>
        </c:scaling>
        <c:delete val="1"/>
        <c:axPos val="b"/>
        <c:majorTickMark val="out"/>
        <c:minorTickMark val="none"/>
        <c:tickLblPos val="none"/>
        <c:crossAx val="94388608"/>
        <c:crosses val="autoZero"/>
        <c:auto val="1"/>
        <c:lblAlgn val="ctr"/>
        <c:lblOffset val="100"/>
        <c:noMultiLvlLbl val="0"/>
      </c:catAx>
      <c:valAx>
        <c:axId val="94388608"/>
        <c:scaling>
          <c:orientation val="minMax"/>
        </c:scaling>
        <c:delete val="0"/>
        <c:axPos val="r"/>
        <c:title>
          <c:tx>
            <c:rich>
              <a:bodyPr/>
              <a:lstStyle/>
              <a:p>
                <a:pPr>
                  <a:defRPr sz="1100" b="0" i="0" u="none" strike="noStrike" baseline="0">
                    <a:solidFill>
                      <a:srgbClr val="000000"/>
                    </a:solidFill>
                    <a:latin typeface="ＭＳ Ｐゴシック"/>
                    <a:ea typeface="ＭＳ Ｐゴシック"/>
                    <a:cs typeface="ＭＳ Ｐゴシック"/>
                  </a:defRPr>
                </a:pPr>
                <a:r>
                  <a:rPr lang="en-US"/>
                  <a:t>Number of Incidents</a:t>
                </a:r>
              </a:p>
            </c:rich>
          </c:tx>
          <c:layout>
            <c:manualLayout>
              <c:xMode val="edge"/>
              <c:yMode val="edge"/>
              <c:x val="0.8390420312522644"/>
              <c:y val="0.34037636713332403"/>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ＭＳ Ｐゴシック"/>
                <a:ea typeface="ＭＳ Ｐゴシック"/>
                <a:cs typeface="ＭＳ Ｐゴシック"/>
              </a:defRPr>
            </a:pPr>
            <a:endParaRPr lang="en-US"/>
          </a:p>
        </c:txPr>
        <c:crossAx val="93055616"/>
        <c:crosses val="max"/>
        <c:crossBetween val="between"/>
      </c:valAx>
      <c:spPr>
        <a:solidFill>
          <a:srgbClr val="FFFFFF"/>
        </a:solidFill>
        <a:ln w="12700">
          <a:solidFill>
            <a:srgbClr val="808080"/>
          </a:solidFill>
          <a:prstDash val="solid"/>
        </a:ln>
      </c:spPr>
    </c:plotArea>
    <c:legend>
      <c:legendPos val="t"/>
      <c:layout>
        <c:manualLayout>
          <c:xMode val="edge"/>
          <c:yMode val="edge"/>
          <c:x val="0.16438374489840282"/>
          <c:y val="0.11502373785884742"/>
          <c:w val="0.44863063711855772"/>
          <c:h val="5.1643310875400882E-2"/>
        </c:manualLayout>
      </c:layout>
      <c:overlay val="0"/>
      <c:spPr>
        <a:solidFill>
          <a:srgbClr val="FFFFFF"/>
        </a:solidFill>
        <a:ln w="3175">
          <a:solidFill>
            <a:srgbClr val="000000"/>
          </a:solidFill>
          <a:prstDash val="solid"/>
        </a:ln>
      </c:spPr>
      <c:txPr>
        <a:bodyPr/>
        <a:lstStyle/>
        <a:p>
          <a:pPr>
            <a:defRPr sz="940" b="0" i="0" u="none" strike="noStrike" baseline="0">
              <a:solidFill>
                <a:srgbClr val="000000"/>
              </a:solidFill>
              <a:latin typeface="ＭＳ Ｐゴシック"/>
              <a:ea typeface="ＭＳ Ｐゴシック"/>
              <a:cs typeface="ＭＳ Ｐゴシック"/>
            </a:defRPr>
          </a:pPr>
          <a:endParaRPr lang="en-US"/>
        </a:p>
      </c:txPr>
    </c:legend>
    <c:plotVisOnly val="1"/>
    <c:dispBlanksAs val="gap"/>
    <c:showDLblsOverMax val="0"/>
  </c:chart>
  <c:spPr>
    <a:solidFill>
      <a:srgbClr val="FFFF99"/>
    </a:solidFill>
    <a:ln w="3175">
      <a:solidFill>
        <a:srgbClr val="000000"/>
      </a:solidFill>
      <a:prstDash val="solid"/>
    </a:ln>
  </c:spPr>
  <c:txPr>
    <a:bodyPr/>
    <a:lstStyle/>
    <a:p>
      <a:pPr>
        <a:defRPr sz="1750" b="0" i="0" u="none" strike="noStrike" baseline="0">
          <a:solidFill>
            <a:srgbClr val="000000"/>
          </a:solidFill>
          <a:latin typeface="ＭＳ Ｐゴシック"/>
          <a:ea typeface="ＭＳ Ｐゴシック"/>
          <a:cs typeface="ＭＳ Ｐゴシック"/>
        </a:defRPr>
      </a:pPr>
      <a:endParaRPr lang="en-US"/>
    </a:p>
  </c:txPr>
  <c:printSettings>
    <c:headerFooter alignWithMargins="0"/>
    <c:pageMargins b="1" l="0.75" r="0.7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50" b="1" i="0" u="none" strike="noStrike" baseline="0">
                <a:solidFill>
                  <a:srgbClr val="000000"/>
                </a:solidFill>
                <a:latin typeface="ＭＳ Ｐゴシック"/>
                <a:ea typeface="ＭＳ Ｐゴシック"/>
                <a:cs typeface="ＭＳ Ｐゴシック"/>
              </a:defRPr>
            </a:pPr>
            <a:r>
              <a:rPr lang="en-US"/>
              <a:t>PB Curve</a:t>
            </a:r>
          </a:p>
        </c:rich>
      </c:tx>
      <c:layout>
        <c:manualLayout>
          <c:xMode val="edge"/>
          <c:yMode val="edge"/>
          <c:x val="0.42272750728399505"/>
          <c:y val="4.4247787610619468E-2"/>
        </c:manualLayout>
      </c:layout>
      <c:overlay val="0"/>
      <c:spPr>
        <a:noFill/>
        <a:ln w="25400">
          <a:noFill/>
        </a:ln>
      </c:spPr>
    </c:title>
    <c:autoTitleDeleted val="0"/>
    <c:plotArea>
      <c:layout>
        <c:manualLayout>
          <c:layoutTarget val="inner"/>
          <c:xMode val="edge"/>
          <c:yMode val="edge"/>
          <c:x val="0.11477279095613845"/>
          <c:y val="0.14823008849557523"/>
          <c:w val="0.75454587321659339"/>
          <c:h val="0.56194690265486724"/>
        </c:manualLayout>
      </c:layout>
      <c:lineChart>
        <c:grouping val="standard"/>
        <c:varyColors val="0"/>
        <c:ser>
          <c:idx val="0"/>
          <c:order val="0"/>
          <c:tx>
            <c:strRef>
              <c:f>'PB Curve Guideline'!$CE$55</c:f>
              <c:strCache>
                <c:ptCount val="1"/>
                <c:pt idx="0">
                  <c:v>Remained Test Cases (plan)</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'PB Curve Guideline'!$CF$54:$CT$54</c:f>
              <c:numCache>
                <c:formatCode>m/d;@</c:formatCode>
                <c:ptCount val="15"/>
                <c:pt idx="0">
                  <c:v>38516</c:v>
                </c:pt>
                <c:pt idx="1">
                  <c:v>38523</c:v>
                </c:pt>
                <c:pt idx="2">
                  <c:v>38530</c:v>
                </c:pt>
                <c:pt idx="3">
                  <c:v>38537</c:v>
                </c:pt>
                <c:pt idx="4">
                  <c:v>38544</c:v>
                </c:pt>
                <c:pt idx="5">
                  <c:v>38551</c:v>
                </c:pt>
                <c:pt idx="6">
                  <c:v>38558</c:v>
                </c:pt>
                <c:pt idx="7">
                  <c:v>38565</c:v>
                </c:pt>
                <c:pt idx="8">
                  <c:v>38572</c:v>
                </c:pt>
                <c:pt idx="9">
                  <c:v>38579</c:v>
                </c:pt>
                <c:pt idx="10">
                  <c:v>38586</c:v>
                </c:pt>
                <c:pt idx="11">
                  <c:v>38593</c:v>
                </c:pt>
                <c:pt idx="12">
                  <c:v>38600</c:v>
                </c:pt>
                <c:pt idx="13">
                  <c:v>38607</c:v>
                </c:pt>
                <c:pt idx="14">
                  <c:v>38614</c:v>
                </c:pt>
              </c:numCache>
            </c:numRef>
          </c:cat>
          <c:val>
            <c:numRef>
              <c:f>'PB Curve Guideline'!$CF$55:$CT$55</c:f>
              <c:numCache>
                <c:formatCode>General</c:formatCode>
                <c:ptCount val="15"/>
                <c:pt idx="0">
                  <c:v>300</c:v>
                </c:pt>
                <c:pt idx="1">
                  <c:v>300</c:v>
                </c:pt>
                <c:pt idx="2">
                  <c:v>280</c:v>
                </c:pt>
                <c:pt idx="3">
                  <c:v>265</c:v>
                </c:pt>
                <c:pt idx="4">
                  <c:v>245</c:v>
                </c:pt>
                <c:pt idx="5">
                  <c:v>215</c:v>
                </c:pt>
                <c:pt idx="6">
                  <c:v>200</c:v>
                </c:pt>
                <c:pt idx="7">
                  <c:v>175</c:v>
                </c:pt>
                <c:pt idx="8">
                  <c:v>140</c:v>
                </c:pt>
                <c:pt idx="9">
                  <c:v>110</c:v>
                </c:pt>
                <c:pt idx="10">
                  <c:v>65</c:v>
                </c:pt>
                <c:pt idx="11">
                  <c:v>35</c:v>
                </c:pt>
                <c:pt idx="12">
                  <c:v>10</c:v>
                </c:pt>
                <c:pt idx="13">
                  <c:v>0</c:v>
                </c:pt>
                <c:pt idx="14">
                  <c:v>0</c:v>
                </c:pt>
              </c:numCache>
            </c:numRef>
          </c:val>
          <c:smooth val="0"/>
          <c:extLst>
            <c:ext xmlns:c16="http://schemas.microsoft.com/office/drawing/2014/chart" uri="{C3380CC4-5D6E-409C-BE32-E72D297353CC}">
              <c16:uniqueId val="{00000000-5A51-44FF-A96D-21238A4D559C}"/>
            </c:ext>
          </c:extLst>
        </c:ser>
        <c:ser>
          <c:idx val="1"/>
          <c:order val="1"/>
          <c:tx>
            <c:strRef>
              <c:f>'PB Curve Guideline'!$CE$56</c:f>
              <c:strCache>
                <c:ptCount val="1"/>
                <c:pt idx="0">
                  <c:v>Remained Test Cases (result)</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numRef>
              <c:f>'PB Curve Guideline'!$CF$54:$CT$54</c:f>
              <c:numCache>
                <c:formatCode>m/d;@</c:formatCode>
                <c:ptCount val="15"/>
                <c:pt idx="0">
                  <c:v>38516</c:v>
                </c:pt>
                <c:pt idx="1">
                  <c:v>38523</c:v>
                </c:pt>
                <c:pt idx="2">
                  <c:v>38530</c:v>
                </c:pt>
                <c:pt idx="3">
                  <c:v>38537</c:v>
                </c:pt>
                <c:pt idx="4">
                  <c:v>38544</c:v>
                </c:pt>
                <c:pt idx="5">
                  <c:v>38551</c:v>
                </c:pt>
                <c:pt idx="6">
                  <c:v>38558</c:v>
                </c:pt>
                <c:pt idx="7">
                  <c:v>38565</c:v>
                </c:pt>
                <c:pt idx="8">
                  <c:v>38572</c:v>
                </c:pt>
                <c:pt idx="9">
                  <c:v>38579</c:v>
                </c:pt>
                <c:pt idx="10">
                  <c:v>38586</c:v>
                </c:pt>
                <c:pt idx="11">
                  <c:v>38593</c:v>
                </c:pt>
                <c:pt idx="12">
                  <c:v>38600</c:v>
                </c:pt>
                <c:pt idx="13">
                  <c:v>38607</c:v>
                </c:pt>
                <c:pt idx="14">
                  <c:v>38614</c:v>
                </c:pt>
              </c:numCache>
            </c:numRef>
          </c:cat>
          <c:val>
            <c:numRef>
              <c:f>'PB Curve Guideline'!$CF$56:$CR$56</c:f>
              <c:numCache>
                <c:formatCode>General</c:formatCode>
                <c:ptCount val="13"/>
                <c:pt idx="0">
                  <c:v>300</c:v>
                </c:pt>
                <c:pt idx="1">
                  <c:v>300</c:v>
                </c:pt>
                <c:pt idx="2">
                  <c:v>294</c:v>
                </c:pt>
                <c:pt idx="3">
                  <c:v>288</c:v>
                </c:pt>
                <c:pt idx="4">
                  <c:v>267</c:v>
                </c:pt>
                <c:pt idx="5">
                  <c:v>230</c:v>
                </c:pt>
                <c:pt idx="6">
                  <c:v>205</c:v>
                </c:pt>
                <c:pt idx="7">
                  <c:v>173</c:v>
                </c:pt>
                <c:pt idx="8">
                  <c:v>137</c:v>
                </c:pt>
                <c:pt idx="9">
                  <c:v>105</c:v>
                </c:pt>
                <c:pt idx="10">
                  <c:v>70</c:v>
                </c:pt>
                <c:pt idx="11">
                  <c:v>36</c:v>
                </c:pt>
                <c:pt idx="12">
                  <c:v>12</c:v>
                </c:pt>
              </c:numCache>
            </c:numRef>
          </c:val>
          <c:smooth val="0"/>
          <c:extLst>
            <c:ext xmlns:c16="http://schemas.microsoft.com/office/drawing/2014/chart" uri="{C3380CC4-5D6E-409C-BE32-E72D297353CC}">
              <c16:uniqueId val="{00000001-5A51-44FF-A96D-21238A4D559C}"/>
            </c:ext>
          </c:extLst>
        </c:ser>
        <c:dLbls>
          <c:showLegendKey val="0"/>
          <c:showVal val="0"/>
          <c:showCatName val="0"/>
          <c:showSerName val="0"/>
          <c:showPercent val="0"/>
          <c:showBubbleSize val="0"/>
        </c:dLbls>
        <c:marker val="1"/>
        <c:smooth val="0"/>
        <c:axId val="74406144"/>
        <c:axId val="74433280"/>
      </c:lineChart>
      <c:lineChart>
        <c:grouping val="standard"/>
        <c:varyColors val="0"/>
        <c:ser>
          <c:idx val="2"/>
          <c:order val="2"/>
          <c:tx>
            <c:strRef>
              <c:f>'PB Curve Guideline'!$CE$58</c:f>
              <c:strCache>
                <c:ptCount val="1"/>
                <c:pt idx="0">
                  <c:v>Inc-Detected (standard)</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val>
            <c:numRef>
              <c:f>'PB Curve Guideline'!$CF$58:$CT$58</c:f>
              <c:numCache>
                <c:formatCode>General</c:formatCode>
                <c:ptCount val="15"/>
                <c:pt idx="0">
                  <c:v>0</c:v>
                </c:pt>
                <c:pt idx="1">
                  <c:v>0</c:v>
                </c:pt>
                <c:pt idx="2">
                  <c:v>5</c:v>
                </c:pt>
                <c:pt idx="3">
                  <c:v>9</c:v>
                </c:pt>
                <c:pt idx="4">
                  <c:v>13</c:v>
                </c:pt>
                <c:pt idx="5">
                  <c:v>20</c:v>
                </c:pt>
                <c:pt idx="6">
                  <c:v>23</c:v>
                </c:pt>
                <c:pt idx="7">
                  <c:v>29</c:v>
                </c:pt>
                <c:pt idx="8">
                  <c:v>37</c:v>
                </c:pt>
                <c:pt idx="9">
                  <c:v>44</c:v>
                </c:pt>
                <c:pt idx="10">
                  <c:v>55</c:v>
                </c:pt>
                <c:pt idx="11">
                  <c:v>61</c:v>
                </c:pt>
                <c:pt idx="12">
                  <c:v>67</c:v>
                </c:pt>
                <c:pt idx="13">
                  <c:v>69</c:v>
                </c:pt>
                <c:pt idx="14">
                  <c:v>69</c:v>
                </c:pt>
              </c:numCache>
            </c:numRef>
          </c:val>
          <c:smooth val="0"/>
          <c:extLst>
            <c:ext xmlns:c16="http://schemas.microsoft.com/office/drawing/2014/chart" uri="{C3380CC4-5D6E-409C-BE32-E72D297353CC}">
              <c16:uniqueId val="{00000002-5A51-44FF-A96D-21238A4D559C}"/>
            </c:ext>
          </c:extLst>
        </c:ser>
        <c:ser>
          <c:idx val="3"/>
          <c:order val="3"/>
          <c:tx>
            <c:strRef>
              <c:f>'PB Curve Guideline'!$CE$59</c:f>
              <c:strCache>
                <c:ptCount val="1"/>
                <c:pt idx="0">
                  <c:v>Inc detected (accum)</c:v>
                </c:pt>
              </c:strCache>
            </c:strRef>
          </c:tx>
          <c:spPr>
            <a:ln w="12700">
              <a:solidFill>
                <a:srgbClr val="00FFFF"/>
              </a:solidFill>
              <a:prstDash val="solid"/>
            </a:ln>
          </c:spPr>
          <c:marker>
            <c:symbol val="x"/>
            <c:size val="5"/>
            <c:spPr>
              <a:noFill/>
              <a:ln>
                <a:solidFill>
                  <a:srgbClr val="00FFFF"/>
                </a:solidFill>
                <a:prstDash val="solid"/>
              </a:ln>
            </c:spPr>
          </c:marker>
          <c:val>
            <c:numRef>
              <c:f>'PB Curve Guideline'!$CF$59:$CR$59</c:f>
              <c:numCache>
                <c:formatCode>General</c:formatCode>
                <c:ptCount val="13"/>
                <c:pt idx="0">
                  <c:v>0</c:v>
                </c:pt>
                <c:pt idx="1">
                  <c:v>0</c:v>
                </c:pt>
                <c:pt idx="2">
                  <c:v>1</c:v>
                </c:pt>
                <c:pt idx="3">
                  <c:v>3</c:v>
                </c:pt>
                <c:pt idx="4">
                  <c:v>5</c:v>
                </c:pt>
                <c:pt idx="5">
                  <c:v>7</c:v>
                </c:pt>
                <c:pt idx="6">
                  <c:v>22</c:v>
                </c:pt>
                <c:pt idx="7">
                  <c:v>38</c:v>
                </c:pt>
                <c:pt idx="8">
                  <c:v>45</c:v>
                </c:pt>
                <c:pt idx="9">
                  <c:v>46</c:v>
                </c:pt>
                <c:pt idx="10">
                  <c:v>52</c:v>
                </c:pt>
                <c:pt idx="11">
                  <c:v>65</c:v>
                </c:pt>
                <c:pt idx="12">
                  <c:v>72</c:v>
                </c:pt>
              </c:numCache>
            </c:numRef>
          </c:val>
          <c:smooth val="0"/>
          <c:extLst>
            <c:ext xmlns:c16="http://schemas.microsoft.com/office/drawing/2014/chart" uri="{C3380CC4-5D6E-409C-BE32-E72D297353CC}">
              <c16:uniqueId val="{00000003-5A51-44FF-A96D-21238A4D559C}"/>
            </c:ext>
          </c:extLst>
        </c:ser>
        <c:ser>
          <c:idx val="4"/>
          <c:order val="4"/>
          <c:tx>
            <c:strRef>
              <c:f>'PB Curve Guideline'!$CE$60</c:f>
              <c:strCache>
                <c:ptCount val="1"/>
                <c:pt idx="0">
                  <c:v>Inc fixed (accum)</c:v>
                </c:pt>
              </c:strCache>
            </c:strRef>
          </c:tx>
          <c:spPr>
            <a:ln w="12700">
              <a:solidFill>
                <a:srgbClr val="800080"/>
              </a:solidFill>
              <a:prstDash val="solid"/>
            </a:ln>
          </c:spPr>
          <c:marker>
            <c:symbol val="star"/>
            <c:size val="5"/>
            <c:spPr>
              <a:noFill/>
              <a:ln>
                <a:solidFill>
                  <a:srgbClr val="800080"/>
                </a:solidFill>
                <a:prstDash val="solid"/>
              </a:ln>
            </c:spPr>
          </c:marker>
          <c:val>
            <c:numRef>
              <c:f>'PB Curve Guideline'!$CF$60:$CR$60</c:f>
              <c:numCache>
                <c:formatCode>General</c:formatCode>
                <c:ptCount val="13"/>
                <c:pt idx="0">
                  <c:v>0</c:v>
                </c:pt>
                <c:pt idx="1">
                  <c:v>0</c:v>
                </c:pt>
                <c:pt idx="2">
                  <c:v>0</c:v>
                </c:pt>
                <c:pt idx="3">
                  <c:v>2</c:v>
                </c:pt>
                <c:pt idx="4">
                  <c:v>4</c:v>
                </c:pt>
                <c:pt idx="5">
                  <c:v>7</c:v>
                </c:pt>
                <c:pt idx="6">
                  <c:v>13</c:v>
                </c:pt>
                <c:pt idx="7">
                  <c:v>23</c:v>
                </c:pt>
                <c:pt idx="8">
                  <c:v>32</c:v>
                </c:pt>
                <c:pt idx="9">
                  <c:v>43</c:v>
                </c:pt>
                <c:pt idx="10">
                  <c:v>48</c:v>
                </c:pt>
                <c:pt idx="11">
                  <c:v>58</c:v>
                </c:pt>
                <c:pt idx="12">
                  <c:v>70</c:v>
                </c:pt>
              </c:numCache>
            </c:numRef>
          </c:val>
          <c:smooth val="0"/>
          <c:extLst>
            <c:ext xmlns:c16="http://schemas.microsoft.com/office/drawing/2014/chart" uri="{C3380CC4-5D6E-409C-BE32-E72D297353CC}">
              <c16:uniqueId val="{00000004-5A51-44FF-A96D-21238A4D559C}"/>
            </c:ext>
          </c:extLst>
        </c:ser>
        <c:dLbls>
          <c:showLegendKey val="0"/>
          <c:showVal val="0"/>
          <c:showCatName val="0"/>
          <c:showSerName val="0"/>
          <c:showPercent val="0"/>
          <c:showBubbleSize val="0"/>
        </c:dLbls>
        <c:marker val="1"/>
        <c:smooth val="0"/>
        <c:axId val="74435200"/>
        <c:axId val="92885376"/>
      </c:lineChart>
      <c:dateAx>
        <c:axId val="74406144"/>
        <c:scaling>
          <c:orientation val="minMax"/>
        </c:scaling>
        <c:delete val="0"/>
        <c:axPos val="b"/>
        <c:minorGridlines>
          <c:spPr>
            <a:ln w="3175">
              <a:solidFill>
                <a:srgbClr val="000000"/>
              </a:solidFill>
              <a:prstDash val="sysDash"/>
            </a:ln>
          </c:spPr>
        </c:minorGridlines>
        <c:title>
          <c:tx>
            <c:rich>
              <a:bodyPr/>
              <a:lstStyle/>
              <a:p>
                <a:pPr>
                  <a:defRPr sz="1200" b="0" i="0" u="none" strike="noStrike" baseline="0">
                    <a:solidFill>
                      <a:srgbClr val="000000"/>
                    </a:solidFill>
                    <a:latin typeface="ＭＳ Ｐゴシック"/>
                    <a:ea typeface="ＭＳ Ｐゴシック"/>
                    <a:cs typeface="ＭＳ Ｐゴシック"/>
                  </a:defRPr>
                </a:pPr>
                <a:r>
                  <a:rPr lang="en-US"/>
                  <a:t>Date</a:t>
                </a:r>
              </a:p>
            </c:rich>
          </c:tx>
          <c:layout>
            <c:manualLayout>
              <c:xMode val="edge"/>
              <c:yMode val="edge"/>
              <c:x val="0.47159117076037083"/>
              <c:y val="0.84734513274336287"/>
            </c:manualLayout>
          </c:layout>
          <c:overlay val="0"/>
          <c:spPr>
            <a:noFill/>
            <a:ln w="25400">
              <a:noFill/>
            </a:ln>
          </c:spPr>
        </c:title>
        <c:numFmt formatCode="d\-mmm" sourceLinked="0"/>
        <c:majorTickMark val="cross"/>
        <c:minorTickMark val="none"/>
        <c:tickLblPos val="nextTo"/>
        <c:spPr>
          <a:ln w="3175">
            <a:solidFill>
              <a:srgbClr val="000000"/>
            </a:solidFill>
            <a:prstDash val="solid"/>
          </a:ln>
        </c:spPr>
        <c:txPr>
          <a:bodyPr rot="-2700000" vert="horz"/>
          <a:lstStyle/>
          <a:p>
            <a:pPr>
              <a:defRPr sz="1125" b="0" i="0" u="none" strike="noStrike" baseline="0">
                <a:solidFill>
                  <a:srgbClr val="000000"/>
                </a:solidFill>
                <a:latin typeface="ＭＳ Ｐゴシック"/>
                <a:ea typeface="ＭＳ Ｐゴシック"/>
                <a:cs typeface="ＭＳ Ｐゴシック"/>
              </a:defRPr>
            </a:pPr>
            <a:endParaRPr lang="en-US"/>
          </a:p>
        </c:txPr>
        <c:crossAx val="74433280"/>
        <c:crosses val="autoZero"/>
        <c:auto val="1"/>
        <c:lblOffset val="100"/>
        <c:baseTimeUnit val="days"/>
        <c:majorUnit val="7"/>
        <c:majorTimeUnit val="days"/>
        <c:minorUnit val="7"/>
        <c:minorTimeUnit val="days"/>
      </c:dateAx>
      <c:valAx>
        <c:axId val="74433280"/>
        <c:scaling>
          <c:orientation val="minMax"/>
        </c:scaling>
        <c:delete val="0"/>
        <c:axPos val="l"/>
        <c:majorGridlines>
          <c:spPr>
            <a:ln w="3175">
              <a:solidFill>
                <a:srgbClr val="000000"/>
              </a:solidFill>
              <a:prstDash val="sysDash"/>
            </a:ln>
          </c:spPr>
        </c:majorGridlines>
        <c:title>
          <c:tx>
            <c:rich>
              <a:bodyPr/>
              <a:lstStyle/>
              <a:p>
                <a:pPr>
                  <a:defRPr sz="1200" b="0" i="0" u="none" strike="noStrike" baseline="0">
                    <a:solidFill>
                      <a:srgbClr val="000000"/>
                    </a:solidFill>
                    <a:latin typeface="ＭＳ Ｐゴシック"/>
                    <a:ea typeface="ＭＳ Ｐゴシック"/>
                    <a:cs typeface="ＭＳ Ｐゴシック"/>
                  </a:defRPr>
                </a:pPr>
                <a:r>
                  <a:rPr lang="en-US"/>
                  <a:t>Number of Test Cases</a:t>
                </a:r>
              </a:p>
            </c:rich>
          </c:tx>
          <c:layout>
            <c:manualLayout>
              <c:xMode val="edge"/>
              <c:yMode val="edge"/>
              <c:x val="3.4090928006773796E-2"/>
              <c:y val="0.25884955752212391"/>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ＭＳ Ｐゴシック"/>
                <a:ea typeface="ＭＳ Ｐゴシック"/>
                <a:cs typeface="ＭＳ Ｐゴシック"/>
              </a:defRPr>
            </a:pPr>
            <a:endParaRPr lang="en-US"/>
          </a:p>
        </c:txPr>
        <c:crossAx val="74406144"/>
        <c:crosses val="autoZero"/>
        <c:crossBetween val="between"/>
      </c:valAx>
      <c:catAx>
        <c:axId val="74435200"/>
        <c:scaling>
          <c:orientation val="minMax"/>
        </c:scaling>
        <c:delete val="1"/>
        <c:axPos val="b"/>
        <c:majorTickMark val="out"/>
        <c:minorTickMark val="none"/>
        <c:tickLblPos val="none"/>
        <c:crossAx val="92885376"/>
        <c:crosses val="autoZero"/>
        <c:auto val="1"/>
        <c:lblAlgn val="ctr"/>
        <c:lblOffset val="100"/>
        <c:noMultiLvlLbl val="0"/>
      </c:catAx>
      <c:valAx>
        <c:axId val="92885376"/>
        <c:scaling>
          <c:orientation val="minMax"/>
        </c:scaling>
        <c:delete val="0"/>
        <c:axPos val="r"/>
        <c:title>
          <c:tx>
            <c:rich>
              <a:bodyPr/>
              <a:lstStyle/>
              <a:p>
                <a:pPr>
                  <a:defRPr sz="1200" b="0" i="0" u="none" strike="noStrike" baseline="0">
                    <a:solidFill>
                      <a:srgbClr val="000000"/>
                    </a:solidFill>
                    <a:latin typeface="ＭＳ Ｐゴシック"/>
                    <a:ea typeface="ＭＳ Ｐゴシック"/>
                    <a:cs typeface="ＭＳ Ｐゴシック"/>
                  </a:defRPr>
                </a:pPr>
                <a:r>
                  <a:rPr lang="en-US"/>
                  <a:t>Number of Incidents</a:t>
                </a:r>
              </a:p>
            </c:rich>
          </c:tx>
          <c:layout>
            <c:manualLayout>
              <c:xMode val="edge"/>
              <c:yMode val="edge"/>
              <c:x val="0.90340959217950556"/>
              <c:y val="0.27654867256637167"/>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ＭＳ Ｐゴシック"/>
                <a:ea typeface="ＭＳ Ｐゴシック"/>
                <a:cs typeface="ＭＳ Ｐゴシック"/>
              </a:defRPr>
            </a:pPr>
            <a:endParaRPr lang="en-US"/>
          </a:p>
        </c:txPr>
        <c:crossAx val="74435200"/>
        <c:crosses val="max"/>
        <c:crossBetween val="between"/>
      </c:valAx>
      <c:spPr>
        <a:solidFill>
          <a:srgbClr val="FFFFFF"/>
        </a:solidFill>
        <a:ln w="12700">
          <a:solidFill>
            <a:srgbClr val="808080"/>
          </a:solidFill>
          <a:prstDash val="solid"/>
        </a:ln>
      </c:spPr>
    </c:plotArea>
    <c:legend>
      <c:legendPos val="r"/>
      <c:layout>
        <c:manualLayout>
          <c:xMode val="edge"/>
          <c:yMode val="edge"/>
          <c:x val="0.12954552642574044"/>
          <c:y val="0.89380530973451322"/>
          <c:w val="0.71136403107467994"/>
          <c:h val="9.0707964601769914E-2"/>
        </c:manualLayout>
      </c:layout>
      <c:overlay val="0"/>
      <c:spPr>
        <a:solidFill>
          <a:srgbClr val="FFFFFF"/>
        </a:solidFill>
        <a:ln w="3175">
          <a:solidFill>
            <a:srgbClr val="000000"/>
          </a:solidFill>
          <a:prstDash val="solid"/>
        </a:ln>
      </c:spPr>
      <c:txPr>
        <a:bodyPr/>
        <a:lstStyle/>
        <a:p>
          <a:pPr>
            <a:defRPr sz="940" b="0" i="0" u="none" strike="noStrike" baseline="0">
              <a:solidFill>
                <a:srgbClr val="000000"/>
              </a:solidFill>
              <a:latin typeface="ＭＳ Ｐゴシック"/>
              <a:ea typeface="ＭＳ Ｐゴシック"/>
              <a:cs typeface="ＭＳ Ｐゴシック"/>
            </a:defRPr>
          </a:pPr>
          <a:endParaRPr lang="en-US"/>
        </a:p>
      </c:txPr>
    </c:legend>
    <c:plotVisOnly val="1"/>
    <c:dispBlanksAs val="gap"/>
    <c:showDLblsOverMax val="0"/>
  </c:chart>
  <c:spPr>
    <a:solidFill>
      <a:srgbClr val="FFFF99"/>
    </a:solidFill>
    <a:ln w="3175">
      <a:solidFill>
        <a:srgbClr val="000000"/>
      </a:solidFill>
      <a:prstDash val="solid"/>
    </a:ln>
  </c:spPr>
  <c:txPr>
    <a:bodyPr/>
    <a:lstStyle/>
    <a:p>
      <a:pPr>
        <a:defRPr sz="1875" b="0" i="0" u="none" strike="noStrike" baseline="0">
          <a:solidFill>
            <a:srgbClr val="000000"/>
          </a:solidFill>
          <a:latin typeface="ＭＳ Ｐゴシック"/>
          <a:ea typeface="ＭＳ Ｐゴシック"/>
          <a:cs typeface="ＭＳ Ｐゴシック"/>
        </a:defRPr>
      </a:pPr>
      <a:endParaRPr lang="en-US"/>
    </a:p>
  </c:txPr>
  <c:printSettings>
    <c:headerFooter alignWithMargins="0"/>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spPr>
            <a:solidFill>
              <a:srgbClr val="FFFFFF"/>
            </a:solidFill>
            <a:ln w="12700">
              <a:solidFill>
                <a:srgbClr val="000000"/>
              </a:solidFill>
              <a:prstDash val="solid"/>
            </a:ln>
          </c:spPr>
          <c:invertIfNegative val="0"/>
          <c:dLbls>
            <c:spPr>
              <a:noFill/>
              <a:ln w="25400">
                <a:noFill/>
              </a:ln>
            </c:spPr>
            <c:txPr>
              <a:bodyPr/>
              <a:lstStyle/>
              <a:p>
                <a:pPr>
                  <a:defRPr sz="1100" b="0" i="0" u="none" strike="noStrike" baseline="0">
                    <a:solidFill>
                      <a:srgbClr val="000000"/>
                    </a:solidFill>
                    <a:latin typeface="ＭＳ Ｐ明朝"/>
                    <a:ea typeface="ＭＳ Ｐ明朝"/>
                    <a:cs typeface="ＭＳ Ｐ明朝"/>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'Example_Weekly Report'!#REF!</c:f>
              <c:numCache>
                <c:formatCode>General</c:formatCode>
                <c:ptCount val="1"/>
                <c:pt idx="0">
                  <c:v>1</c:v>
                </c:pt>
              </c:numCache>
            </c:numRef>
          </c:val>
          <c:extLst>
            <c:ext xmlns:c16="http://schemas.microsoft.com/office/drawing/2014/chart" uri="{C3380CC4-5D6E-409C-BE32-E72D297353CC}">
              <c16:uniqueId val="{00000000-5CF2-49D7-9F4C-A3E761F0D3F2}"/>
            </c:ext>
          </c:extLst>
        </c:ser>
        <c:ser>
          <c:idx val="3"/>
          <c:order val="1"/>
          <c:spPr>
            <a:pattFill prst="pct50">
              <a:fgClr>
                <a:srgbClr val="FFFFFF"/>
              </a:fgClr>
              <a:bgClr>
                <a:srgbClr val="000000"/>
              </a:bgClr>
            </a:pattFill>
            <a:ln w="12700">
              <a:solidFill>
                <a:srgbClr val="000000"/>
              </a:solidFill>
              <a:prstDash val="solid"/>
            </a:ln>
          </c:spPr>
          <c:invertIfNegative val="0"/>
          <c:val>
            <c:numRef>
              <c:f>'Example_Weekly Report'!#REF!</c:f>
              <c:numCache>
                <c:formatCode>General</c:formatCode>
                <c:ptCount val="1"/>
                <c:pt idx="0">
                  <c:v>1</c:v>
                </c:pt>
              </c:numCache>
            </c:numRef>
          </c:val>
          <c:extLst>
            <c:ext xmlns:c16="http://schemas.microsoft.com/office/drawing/2014/chart" uri="{C3380CC4-5D6E-409C-BE32-E72D297353CC}">
              <c16:uniqueId val="{00000001-5CF2-49D7-9F4C-A3E761F0D3F2}"/>
            </c:ext>
          </c:extLst>
        </c:ser>
        <c:ser>
          <c:idx val="0"/>
          <c:order val="2"/>
          <c:spPr>
            <a:solidFill>
              <a:srgbClr val="9999FF"/>
            </a:solidFill>
            <a:ln w="12700">
              <a:solidFill>
                <a:srgbClr val="000000"/>
              </a:solidFill>
              <a:prstDash val="sysDash"/>
            </a:ln>
          </c:spPr>
          <c:invertIfNegative val="0"/>
          <c:dLbls>
            <c:spPr>
              <a:noFill/>
              <a:ln w="25400">
                <a:noFill/>
              </a:ln>
            </c:spPr>
            <c:txPr>
              <a:bodyPr/>
              <a:lstStyle/>
              <a:p>
                <a:pPr>
                  <a:defRPr sz="1100" b="0" i="0" u="none" strike="noStrike" baseline="0">
                    <a:solidFill>
                      <a:srgbClr val="000000"/>
                    </a:solidFill>
                    <a:latin typeface="ＭＳ Ｐ明朝"/>
                    <a:ea typeface="ＭＳ Ｐ明朝"/>
                    <a:cs typeface="ＭＳ Ｐ明朝"/>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'Example_Weekly Report'!#REF!</c:f>
              <c:numCache>
                <c:formatCode>General</c:formatCode>
                <c:ptCount val="1"/>
                <c:pt idx="0">
                  <c:v>1</c:v>
                </c:pt>
              </c:numCache>
            </c:numRef>
          </c:val>
          <c:extLst>
            <c:ext xmlns:c16="http://schemas.microsoft.com/office/drawing/2014/chart" uri="{C3380CC4-5D6E-409C-BE32-E72D297353CC}">
              <c16:uniqueId val="{00000002-5CF2-49D7-9F4C-A3E761F0D3F2}"/>
            </c:ext>
          </c:extLst>
        </c:ser>
        <c:dLbls>
          <c:showLegendKey val="0"/>
          <c:showVal val="0"/>
          <c:showCatName val="0"/>
          <c:showSerName val="0"/>
          <c:showPercent val="0"/>
          <c:showBubbleSize val="0"/>
        </c:dLbls>
        <c:gapWidth val="150"/>
        <c:axId val="74962048"/>
        <c:axId val="74964352"/>
      </c:barChart>
      <c:lineChart>
        <c:grouping val="standard"/>
        <c:varyColors val="0"/>
        <c:ser>
          <c:idx val="1"/>
          <c:order val="3"/>
          <c:spPr>
            <a:ln w="12700">
              <a:solidFill>
                <a:srgbClr val="000000"/>
              </a:solidFill>
              <a:prstDash val="solid"/>
            </a:ln>
          </c:spPr>
          <c:marker>
            <c:symbol val="square"/>
            <c:size val="5"/>
            <c:spPr>
              <a:solidFill>
                <a:srgbClr val="000000"/>
              </a:solidFill>
              <a:ln>
                <a:solidFill>
                  <a:srgbClr val="000000"/>
                </a:solidFill>
                <a:prstDash val="solid"/>
              </a:ln>
            </c:spPr>
          </c:marker>
          <c:val>
            <c:numRef>
              <c:f>'Example_Weekly Report'!#REF!</c:f>
              <c:numCache>
                <c:formatCode>General</c:formatCode>
                <c:ptCount val="1"/>
                <c:pt idx="0">
                  <c:v>1</c:v>
                </c:pt>
              </c:numCache>
            </c:numRef>
          </c:val>
          <c:smooth val="0"/>
          <c:extLst>
            <c:ext xmlns:c16="http://schemas.microsoft.com/office/drawing/2014/chart" uri="{C3380CC4-5D6E-409C-BE32-E72D297353CC}">
              <c16:uniqueId val="{00000003-5CF2-49D7-9F4C-A3E761F0D3F2}"/>
            </c:ext>
          </c:extLst>
        </c:ser>
        <c:ser>
          <c:idx val="4"/>
          <c:order val="4"/>
          <c:spPr>
            <a:ln w="12700">
              <a:solidFill>
                <a:srgbClr val="800080"/>
              </a:solidFill>
              <a:prstDash val="solid"/>
            </a:ln>
          </c:spPr>
          <c:marker>
            <c:symbol val="star"/>
            <c:size val="5"/>
            <c:spPr>
              <a:noFill/>
              <a:ln>
                <a:solidFill>
                  <a:srgbClr val="800080"/>
                </a:solidFill>
                <a:prstDash val="solid"/>
              </a:ln>
            </c:spPr>
          </c:marker>
          <c:val>
            <c:numRef>
              <c:f>'Example_Weekly Report'!#REF!</c:f>
              <c:numCache>
                <c:formatCode>General</c:formatCode>
                <c:ptCount val="1"/>
                <c:pt idx="0">
                  <c:v>1</c:v>
                </c:pt>
              </c:numCache>
            </c:numRef>
          </c:val>
          <c:smooth val="0"/>
          <c:extLst>
            <c:ext xmlns:c16="http://schemas.microsoft.com/office/drawing/2014/chart" uri="{C3380CC4-5D6E-409C-BE32-E72D297353CC}">
              <c16:uniqueId val="{00000004-5CF2-49D7-9F4C-A3E761F0D3F2}"/>
            </c:ext>
          </c:extLst>
        </c:ser>
        <c:ser>
          <c:idx val="5"/>
          <c:order val="5"/>
          <c:spPr>
            <a:ln w="12700">
              <a:solidFill>
                <a:srgbClr val="800000"/>
              </a:solidFill>
              <a:prstDash val="solid"/>
            </a:ln>
          </c:spPr>
          <c:marker>
            <c:symbol val="circle"/>
            <c:size val="5"/>
            <c:spPr>
              <a:solidFill>
                <a:srgbClr val="800000"/>
              </a:solidFill>
              <a:ln>
                <a:solidFill>
                  <a:srgbClr val="800000"/>
                </a:solidFill>
                <a:prstDash val="solid"/>
              </a:ln>
            </c:spPr>
          </c:marker>
          <c:val>
            <c:numRef>
              <c:f>'Example_Weekly Report'!#REF!</c:f>
              <c:numCache>
                <c:formatCode>General</c:formatCode>
                <c:ptCount val="1"/>
                <c:pt idx="0">
                  <c:v>1</c:v>
                </c:pt>
              </c:numCache>
            </c:numRef>
          </c:val>
          <c:smooth val="0"/>
          <c:extLst>
            <c:ext xmlns:c16="http://schemas.microsoft.com/office/drawing/2014/chart" uri="{C3380CC4-5D6E-409C-BE32-E72D297353CC}">
              <c16:uniqueId val="{00000005-5CF2-49D7-9F4C-A3E761F0D3F2}"/>
            </c:ext>
          </c:extLst>
        </c:ser>
        <c:dLbls>
          <c:showLegendKey val="0"/>
          <c:showVal val="0"/>
          <c:showCatName val="0"/>
          <c:showSerName val="0"/>
          <c:showPercent val="0"/>
          <c:showBubbleSize val="0"/>
        </c:dLbls>
        <c:marker val="1"/>
        <c:smooth val="0"/>
        <c:axId val="75183616"/>
        <c:axId val="75185152"/>
      </c:lineChart>
      <c:catAx>
        <c:axId val="74962048"/>
        <c:scaling>
          <c:orientation val="minMax"/>
        </c:scaling>
        <c:delete val="0"/>
        <c:axPos val="b"/>
        <c:majorTickMark val="in"/>
        <c:minorTickMark val="none"/>
        <c:tickLblPos val="none"/>
        <c:spPr>
          <a:ln w="3175">
            <a:solidFill>
              <a:srgbClr val="000000"/>
            </a:solidFill>
            <a:prstDash val="solid"/>
          </a:ln>
        </c:spPr>
        <c:crossAx val="74964352"/>
        <c:crosses val="autoZero"/>
        <c:auto val="0"/>
        <c:lblAlgn val="ctr"/>
        <c:lblOffset val="100"/>
        <c:tickLblSkip val="10"/>
        <c:tickMarkSkip val="1"/>
        <c:noMultiLvlLbl val="0"/>
      </c:catAx>
      <c:valAx>
        <c:axId val="74964352"/>
        <c:scaling>
          <c:orientation val="minMax"/>
        </c:scaling>
        <c:delete val="0"/>
        <c:axPos val="l"/>
        <c:numFmt formatCode="#,##0_ ;\-#,##0\ "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4962048"/>
        <c:crosses val="autoZero"/>
        <c:crossBetween val="between"/>
      </c:valAx>
      <c:catAx>
        <c:axId val="75183616"/>
        <c:scaling>
          <c:orientation val="minMax"/>
        </c:scaling>
        <c:delete val="1"/>
        <c:axPos val="b"/>
        <c:majorTickMark val="out"/>
        <c:minorTickMark val="none"/>
        <c:tickLblPos val="none"/>
        <c:crossAx val="75185152"/>
        <c:crosses val="autoZero"/>
        <c:auto val="0"/>
        <c:lblAlgn val="ctr"/>
        <c:lblOffset val="100"/>
        <c:noMultiLvlLbl val="0"/>
      </c:catAx>
      <c:valAx>
        <c:axId val="75185152"/>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5183616"/>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spPr>
            <a:solidFill>
              <a:srgbClr val="FFFFFF"/>
            </a:solidFill>
            <a:ln w="12700">
              <a:solidFill>
                <a:srgbClr val="000000"/>
              </a:solidFill>
              <a:prstDash val="solid"/>
            </a:ln>
          </c:spPr>
          <c:invertIfNegative val="0"/>
          <c:val>
            <c:numRef>
              <c:f>'Example_Weekly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0-FAD1-4E6A-8196-B1CD7380C853}"/>
            </c:ext>
          </c:extLst>
        </c:ser>
        <c:ser>
          <c:idx val="3"/>
          <c:order val="1"/>
          <c:spPr>
            <a:pattFill prst="pct50">
              <a:fgClr>
                <a:srgbClr val="FFFFFF"/>
              </a:fgClr>
              <a:bgClr>
                <a:srgbClr val="000000"/>
              </a:bgClr>
            </a:pattFill>
            <a:ln w="12700">
              <a:solidFill>
                <a:srgbClr val="000000"/>
              </a:solidFill>
              <a:prstDash val="solid"/>
            </a:ln>
          </c:spPr>
          <c:invertIfNegative val="0"/>
          <c:val>
            <c:numRef>
              <c:f>'Example_Weekly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1-FAD1-4E6A-8196-B1CD7380C853}"/>
            </c:ext>
          </c:extLst>
        </c:ser>
        <c:dLbls>
          <c:showLegendKey val="0"/>
          <c:showVal val="0"/>
          <c:showCatName val="0"/>
          <c:showSerName val="0"/>
          <c:showPercent val="0"/>
          <c:showBubbleSize val="0"/>
        </c:dLbls>
        <c:gapWidth val="150"/>
        <c:axId val="88333696"/>
        <c:axId val="92563328"/>
      </c:barChart>
      <c:lineChart>
        <c:grouping val="standard"/>
        <c:varyColors val="0"/>
        <c:ser>
          <c:idx val="0"/>
          <c:order val="2"/>
          <c:spPr>
            <a:ln w="12700">
              <a:solidFill>
                <a:srgbClr val="000000"/>
              </a:solidFill>
              <a:prstDash val="sysDash"/>
            </a:ln>
          </c:spPr>
          <c:marker>
            <c:symbol val="diamond"/>
            <c:size val="5"/>
            <c:spPr>
              <a:solidFill>
                <a:srgbClr val="FFFFFF"/>
              </a:solidFill>
              <a:ln>
                <a:solidFill>
                  <a:srgbClr val="000000"/>
                </a:solidFill>
                <a:prstDash val="solid"/>
              </a:ln>
            </c:spPr>
          </c:marker>
          <c:val>
            <c:numRef>
              <c:f>'Example_Weekly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2-FAD1-4E6A-8196-B1CD7380C853}"/>
            </c:ext>
          </c:extLst>
        </c:ser>
        <c:ser>
          <c:idx val="1"/>
          <c:order val="3"/>
          <c:spPr>
            <a:ln w="12700">
              <a:solidFill>
                <a:srgbClr val="000000"/>
              </a:solidFill>
              <a:prstDash val="solid"/>
            </a:ln>
          </c:spPr>
          <c:marker>
            <c:symbol val="square"/>
            <c:size val="5"/>
            <c:spPr>
              <a:solidFill>
                <a:srgbClr val="000000"/>
              </a:solidFill>
              <a:ln>
                <a:solidFill>
                  <a:srgbClr val="000000"/>
                </a:solidFill>
                <a:prstDash val="solid"/>
              </a:ln>
            </c:spPr>
          </c:marker>
          <c:val>
            <c:numRef>
              <c:f>'Example_Weekly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3-FAD1-4E6A-8196-B1CD7380C853}"/>
            </c:ext>
          </c:extLst>
        </c:ser>
        <c:dLbls>
          <c:showLegendKey val="0"/>
          <c:showVal val="0"/>
          <c:showCatName val="0"/>
          <c:showSerName val="0"/>
          <c:showPercent val="0"/>
          <c:showBubbleSize val="0"/>
        </c:dLbls>
        <c:marker val="1"/>
        <c:smooth val="0"/>
        <c:axId val="92564864"/>
        <c:axId val="92890240"/>
      </c:lineChart>
      <c:catAx>
        <c:axId val="88333696"/>
        <c:scaling>
          <c:orientation val="minMax"/>
        </c:scaling>
        <c:delete val="0"/>
        <c:axPos val="b"/>
        <c:majorTickMark val="in"/>
        <c:minorTickMark val="none"/>
        <c:tickLblPos val="none"/>
        <c:spPr>
          <a:ln w="3175">
            <a:solidFill>
              <a:srgbClr val="000000"/>
            </a:solidFill>
            <a:prstDash val="solid"/>
          </a:ln>
        </c:spPr>
        <c:crossAx val="92563328"/>
        <c:crosses val="autoZero"/>
        <c:auto val="0"/>
        <c:lblAlgn val="ctr"/>
        <c:lblOffset val="100"/>
        <c:tickMarkSkip val="1"/>
        <c:noMultiLvlLbl val="0"/>
      </c:catAx>
      <c:valAx>
        <c:axId val="92563328"/>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8333696"/>
        <c:crosses val="autoZero"/>
        <c:crossBetween val="between"/>
        <c:majorUnit val="500"/>
      </c:valAx>
      <c:catAx>
        <c:axId val="92564864"/>
        <c:scaling>
          <c:orientation val="minMax"/>
        </c:scaling>
        <c:delete val="1"/>
        <c:axPos val="b"/>
        <c:majorTickMark val="out"/>
        <c:minorTickMark val="none"/>
        <c:tickLblPos val="none"/>
        <c:crossAx val="92890240"/>
        <c:crosses val="autoZero"/>
        <c:auto val="0"/>
        <c:lblAlgn val="ctr"/>
        <c:lblOffset val="100"/>
        <c:noMultiLvlLbl val="0"/>
      </c:catAx>
      <c:valAx>
        <c:axId val="92890240"/>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2564864"/>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spPr>
            <a:solidFill>
              <a:srgbClr val="FFFFFF"/>
            </a:solidFill>
            <a:ln w="12700">
              <a:solidFill>
                <a:srgbClr val="000000"/>
              </a:solidFill>
              <a:prstDash val="solid"/>
            </a:ln>
          </c:spPr>
          <c:invertIfNegative val="0"/>
          <c:val>
            <c:numRef>
              <c:f>'Example_Weekly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0-AAE8-4A42-8FA0-1EEE154444C4}"/>
            </c:ext>
          </c:extLst>
        </c:ser>
        <c:ser>
          <c:idx val="3"/>
          <c:order val="1"/>
          <c:spPr>
            <a:pattFill prst="pct50">
              <a:fgClr>
                <a:srgbClr val="FFFFFF"/>
              </a:fgClr>
              <a:bgClr>
                <a:srgbClr val="000000"/>
              </a:bgClr>
            </a:pattFill>
            <a:ln w="12700">
              <a:solidFill>
                <a:srgbClr val="000000"/>
              </a:solidFill>
              <a:prstDash val="solid"/>
            </a:ln>
          </c:spPr>
          <c:invertIfNegative val="0"/>
          <c:val>
            <c:numRef>
              <c:f>'Example_Weekly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1-AAE8-4A42-8FA0-1EEE154444C4}"/>
            </c:ext>
          </c:extLst>
        </c:ser>
        <c:dLbls>
          <c:showLegendKey val="0"/>
          <c:showVal val="0"/>
          <c:showCatName val="0"/>
          <c:showSerName val="0"/>
          <c:showPercent val="0"/>
          <c:showBubbleSize val="0"/>
        </c:dLbls>
        <c:gapWidth val="150"/>
        <c:axId val="74994432"/>
        <c:axId val="74996352"/>
      </c:barChart>
      <c:lineChart>
        <c:grouping val="standard"/>
        <c:varyColors val="0"/>
        <c:ser>
          <c:idx val="0"/>
          <c:order val="2"/>
          <c:spPr>
            <a:ln w="12700">
              <a:solidFill>
                <a:srgbClr val="000000"/>
              </a:solidFill>
              <a:prstDash val="sysDash"/>
            </a:ln>
          </c:spPr>
          <c:marker>
            <c:symbol val="diamond"/>
            <c:size val="5"/>
            <c:spPr>
              <a:solidFill>
                <a:srgbClr val="FFFFFF"/>
              </a:solidFill>
              <a:ln>
                <a:solidFill>
                  <a:srgbClr val="000000"/>
                </a:solidFill>
                <a:prstDash val="solid"/>
              </a:ln>
            </c:spPr>
          </c:marker>
          <c:val>
            <c:numRef>
              <c:f>'Example_Weekly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2-AAE8-4A42-8FA0-1EEE154444C4}"/>
            </c:ext>
          </c:extLst>
        </c:ser>
        <c:ser>
          <c:idx val="1"/>
          <c:order val="3"/>
          <c:spPr>
            <a:ln w="12700">
              <a:solidFill>
                <a:srgbClr val="000000"/>
              </a:solidFill>
              <a:prstDash val="solid"/>
            </a:ln>
          </c:spPr>
          <c:marker>
            <c:symbol val="square"/>
            <c:size val="5"/>
            <c:spPr>
              <a:solidFill>
                <a:srgbClr val="000000"/>
              </a:solidFill>
              <a:ln>
                <a:solidFill>
                  <a:srgbClr val="000000"/>
                </a:solidFill>
                <a:prstDash val="solid"/>
              </a:ln>
            </c:spPr>
          </c:marker>
          <c:val>
            <c:numRef>
              <c:f>'Example_Weekly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3-AAE8-4A42-8FA0-1EEE154444C4}"/>
            </c:ext>
          </c:extLst>
        </c:ser>
        <c:dLbls>
          <c:showLegendKey val="0"/>
          <c:showVal val="0"/>
          <c:showCatName val="0"/>
          <c:showSerName val="0"/>
          <c:showPercent val="0"/>
          <c:showBubbleSize val="0"/>
        </c:dLbls>
        <c:marker val="1"/>
        <c:smooth val="0"/>
        <c:axId val="75010432"/>
        <c:axId val="75011968"/>
      </c:lineChart>
      <c:catAx>
        <c:axId val="74994432"/>
        <c:scaling>
          <c:orientation val="minMax"/>
        </c:scaling>
        <c:delete val="0"/>
        <c:axPos val="b"/>
        <c:majorTickMark val="in"/>
        <c:minorTickMark val="none"/>
        <c:tickLblPos val="none"/>
        <c:spPr>
          <a:ln w="3175">
            <a:solidFill>
              <a:srgbClr val="000000"/>
            </a:solidFill>
            <a:prstDash val="solid"/>
          </a:ln>
        </c:spPr>
        <c:crossAx val="74996352"/>
        <c:crosses val="autoZero"/>
        <c:auto val="0"/>
        <c:lblAlgn val="ctr"/>
        <c:lblOffset val="100"/>
        <c:tickMarkSkip val="1"/>
        <c:noMultiLvlLbl val="0"/>
      </c:catAx>
      <c:valAx>
        <c:axId val="74996352"/>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4994432"/>
        <c:crosses val="autoZero"/>
        <c:crossBetween val="between"/>
        <c:majorUnit val="25"/>
      </c:valAx>
      <c:catAx>
        <c:axId val="75010432"/>
        <c:scaling>
          <c:orientation val="minMax"/>
        </c:scaling>
        <c:delete val="1"/>
        <c:axPos val="b"/>
        <c:majorTickMark val="out"/>
        <c:minorTickMark val="none"/>
        <c:tickLblPos val="none"/>
        <c:crossAx val="75011968"/>
        <c:crosses val="autoZero"/>
        <c:auto val="0"/>
        <c:lblAlgn val="ctr"/>
        <c:lblOffset val="100"/>
        <c:noMultiLvlLbl val="0"/>
      </c:catAx>
      <c:valAx>
        <c:axId val="75011968"/>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5010432"/>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spPr>
            <a:solidFill>
              <a:srgbClr val="FFFFFF"/>
            </a:solidFill>
            <a:ln w="12700">
              <a:solidFill>
                <a:srgbClr val="000000"/>
              </a:solidFill>
              <a:prstDash val="solid"/>
            </a:ln>
          </c:spPr>
          <c:invertIfNegative val="0"/>
          <c:dLbls>
            <c:spPr>
              <a:noFill/>
              <a:ln w="25400">
                <a:noFill/>
              </a:ln>
            </c:spPr>
            <c:txPr>
              <a:bodyPr/>
              <a:lstStyle/>
              <a:p>
                <a:pPr>
                  <a:defRPr sz="1100" b="0" i="0" u="none" strike="noStrike" baseline="0">
                    <a:solidFill>
                      <a:srgbClr val="000000"/>
                    </a:solidFill>
                    <a:latin typeface="ＭＳ Ｐ明朝"/>
                    <a:ea typeface="ＭＳ Ｐ明朝"/>
                    <a:cs typeface="ＭＳ Ｐ明朝"/>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'Example_Weekly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0-E7D5-47E3-A641-CD12196BE8C1}"/>
            </c:ext>
          </c:extLst>
        </c:ser>
        <c:ser>
          <c:idx val="3"/>
          <c:order val="1"/>
          <c:spPr>
            <a:pattFill prst="pct50">
              <a:fgClr>
                <a:srgbClr val="FFFFFF"/>
              </a:fgClr>
              <a:bgClr>
                <a:srgbClr val="000000"/>
              </a:bgClr>
            </a:pattFill>
            <a:ln w="12700">
              <a:solidFill>
                <a:srgbClr val="000000"/>
              </a:solidFill>
              <a:prstDash val="solid"/>
            </a:ln>
          </c:spPr>
          <c:invertIfNegative val="0"/>
          <c:val>
            <c:numRef>
              <c:f>'Example_Weekly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1-E7D5-47E3-A641-CD12196BE8C1}"/>
            </c:ext>
          </c:extLst>
        </c:ser>
        <c:dLbls>
          <c:showLegendKey val="0"/>
          <c:showVal val="0"/>
          <c:showCatName val="0"/>
          <c:showSerName val="0"/>
          <c:showPercent val="0"/>
          <c:showBubbleSize val="0"/>
        </c:dLbls>
        <c:gapWidth val="150"/>
        <c:axId val="75039872"/>
        <c:axId val="75041792"/>
      </c:barChart>
      <c:lineChart>
        <c:grouping val="standard"/>
        <c:varyColors val="0"/>
        <c:ser>
          <c:idx val="0"/>
          <c:order val="2"/>
          <c:spPr>
            <a:ln w="12700">
              <a:solidFill>
                <a:srgbClr val="000000"/>
              </a:solidFill>
              <a:prstDash val="sysDash"/>
            </a:ln>
          </c:spPr>
          <c:marker>
            <c:symbol val="diamond"/>
            <c:size val="5"/>
            <c:spPr>
              <a:solidFill>
                <a:srgbClr val="FFFFFF"/>
              </a:solidFill>
              <a:ln>
                <a:solidFill>
                  <a:srgbClr val="000000"/>
                </a:solidFill>
                <a:prstDash val="solid"/>
              </a:ln>
            </c:spPr>
          </c:marker>
          <c:dLbls>
            <c:spPr>
              <a:noFill/>
              <a:ln w="25400">
                <a:noFill/>
              </a:ln>
            </c:spPr>
            <c:txPr>
              <a:bodyPr/>
              <a:lstStyle/>
              <a:p>
                <a:pPr>
                  <a:defRPr sz="1100" b="0" i="0" u="none" strike="noStrike" baseline="0">
                    <a:solidFill>
                      <a:srgbClr val="000000"/>
                    </a:solidFill>
                    <a:latin typeface="ＭＳ Ｐ明朝"/>
                    <a:ea typeface="ＭＳ Ｐ明朝"/>
                    <a:cs typeface="ＭＳ Ｐ明朝"/>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'Example_Weekly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2-E7D5-47E3-A641-CD12196BE8C1}"/>
            </c:ext>
          </c:extLst>
        </c:ser>
        <c:ser>
          <c:idx val="1"/>
          <c:order val="3"/>
          <c:spPr>
            <a:ln w="12700">
              <a:solidFill>
                <a:srgbClr val="000000"/>
              </a:solidFill>
              <a:prstDash val="solid"/>
            </a:ln>
          </c:spPr>
          <c:marker>
            <c:symbol val="square"/>
            <c:size val="5"/>
            <c:spPr>
              <a:solidFill>
                <a:srgbClr val="000000"/>
              </a:solidFill>
              <a:ln>
                <a:solidFill>
                  <a:srgbClr val="000000"/>
                </a:solidFill>
                <a:prstDash val="solid"/>
              </a:ln>
            </c:spPr>
          </c:marker>
          <c:val>
            <c:numRef>
              <c:f>'Example_Weekly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3-E7D5-47E3-A641-CD12196BE8C1}"/>
            </c:ext>
          </c:extLst>
        </c:ser>
        <c:dLbls>
          <c:showLegendKey val="0"/>
          <c:showVal val="0"/>
          <c:showCatName val="0"/>
          <c:showSerName val="0"/>
          <c:showPercent val="0"/>
          <c:showBubbleSize val="0"/>
        </c:dLbls>
        <c:marker val="1"/>
        <c:smooth val="0"/>
        <c:axId val="75055872"/>
        <c:axId val="75057408"/>
      </c:lineChart>
      <c:catAx>
        <c:axId val="75039872"/>
        <c:scaling>
          <c:orientation val="minMax"/>
        </c:scaling>
        <c:delete val="0"/>
        <c:axPos val="b"/>
        <c:majorTickMark val="in"/>
        <c:minorTickMark val="none"/>
        <c:tickLblPos val="none"/>
        <c:spPr>
          <a:ln w="3175">
            <a:solidFill>
              <a:srgbClr val="000000"/>
            </a:solidFill>
            <a:prstDash val="solid"/>
          </a:ln>
        </c:spPr>
        <c:crossAx val="75041792"/>
        <c:crosses val="autoZero"/>
        <c:auto val="0"/>
        <c:lblAlgn val="ctr"/>
        <c:lblOffset val="100"/>
        <c:tickLblSkip val="10"/>
        <c:tickMarkSkip val="1"/>
        <c:noMultiLvlLbl val="0"/>
      </c:catAx>
      <c:valAx>
        <c:axId val="75041792"/>
        <c:scaling>
          <c:orientation val="minMax"/>
        </c:scaling>
        <c:delete val="0"/>
        <c:axPos val="l"/>
        <c:numFmt formatCode="#,##0_ ;\-#,##0\ " sourceLinked="0"/>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5039872"/>
        <c:crosses val="autoZero"/>
        <c:crossBetween val="between"/>
      </c:valAx>
      <c:catAx>
        <c:axId val="75055872"/>
        <c:scaling>
          <c:orientation val="minMax"/>
        </c:scaling>
        <c:delete val="1"/>
        <c:axPos val="b"/>
        <c:majorTickMark val="out"/>
        <c:minorTickMark val="none"/>
        <c:tickLblPos val="none"/>
        <c:crossAx val="75057408"/>
        <c:crosses val="autoZero"/>
        <c:auto val="0"/>
        <c:lblAlgn val="ctr"/>
        <c:lblOffset val="100"/>
        <c:noMultiLvlLbl val="0"/>
      </c:catAx>
      <c:valAx>
        <c:axId val="75057408"/>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5055872"/>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5141545524100997E-2"/>
          <c:y val="0.13178394337408683"/>
          <c:w val="0.92272379495026779"/>
          <c:h val="0.75969567356826528"/>
        </c:manualLayout>
      </c:layout>
      <c:barChart>
        <c:barDir val="col"/>
        <c:grouping val="clustered"/>
        <c:varyColors val="0"/>
        <c:ser>
          <c:idx val="2"/>
          <c:order val="0"/>
          <c:tx>
            <c:strRef>
              <c:f>'Example_Weekly Report'!$B$23</c:f>
              <c:strCache>
                <c:ptCount val="1"/>
                <c:pt idx="0">
                  <c:v>Plan (weekly)</c:v>
                </c:pt>
              </c:strCache>
            </c:strRef>
          </c:tx>
          <c:spPr>
            <a:solidFill>
              <a:srgbClr val="FFFFFF"/>
            </a:solidFill>
            <a:ln w="12700">
              <a:solidFill>
                <a:srgbClr val="000000"/>
              </a:solidFill>
              <a:prstDash val="solid"/>
            </a:ln>
          </c:spPr>
          <c:invertIfNegative val="0"/>
          <c:val>
            <c:numRef>
              <c:f>'Example_Weekly Report'!$C$23:$AF$23</c:f>
              <c:numCache>
                <c:formatCode>General</c:formatCode>
                <c:ptCount val="30"/>
                <c:pt idx="0">
                  <c:v>0</c:v>
                </c:pt>
                <c:pt idx="1">
                  <c:v>0</c:v>
                </c:pt>
                <c:pt idx="2">
                  <c:v>0</c:v>
                </c:pt>
                <c:pt idx="3">
                  <c:v>0</c:v>
                </c:pt>
                <c:pt idx="4">
                  <c:v>0</c:v>
                </c:pt>
                <c:pt idx="5">
                  <c:v>0</c:v>
                </c:pt>
                <c:pt idx="6">
                  <c:v>9</c:v>
                </c:pt>
                <c:pt idx="7">
                  <c:v>24</c:v>
                </c:pt>
                <c:pt idx="8">
                  <c:v>18</c:v>
                </c:pt>
                <c:pt idx="9">
                  <c:v>21</c:v>
                </c:pt>
                <c:pt idx="10">
                  <c:v>18</c:v>
                </c:pt>
                <c:pt idx="11">
                  <c:v>24</c:v>
                </c:pt>
                <c:pt idx="12">
                  <c:v>21</c:v>
                </c:pt>
                <c:pt idx="13">
                  <c:v>24</c:v>
                </c:pt>
                <c:pt idx="14">
                  <c:v>21</c:v>
                </c:pt>
                <c:pt idx="15">
                  <c:v>12</c:v>
                </c:pt>
                <c:pt idx="16">
                  <c:v>15</c:v>
                </c:pt>
                <c:pt idx="17">
                  <c:v>12</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A27C-4581-BA0D-D73EC46D6064}"/>
            </c:ext>
          </c:extLst>
        </c:ser>
        <c:ser>
          <c:idx val="3"/>
          <c:order val="1"/>
          <c:tx>
            <c:strRef>
              <c:f>'Example_Weekly Report'!$B$24</c:f>
              <c:strCache>
                <c:ptCount val="1"/>
                <c:pt idx="0">
                  <c:v>Result (weekly)</c:v>
                </c:pt>
              </c:strCache>
            </c:strRef>
          </c:tx>
          <c:spPr>
            <a:pattFill prst="pct50">
              <a:fgClr>
                <a:srgbClr val="FFFFFF"/>
              </a:fgClr>
              <a:bgClr>
                <a:srgbClr val="000000"/>
              </a:bgClr>
            </a:pattFill>
            <a:ln w="12700">
              <a:solidFill>
                <a:srgbClr val="000000"/>
              </a:solidFill>
              <a:prstDash val="solid"/>
            </a:ln>
          </c:spPr>
          <c:invertIfNegative val="0"/>
          <c:val>
            <c:numRef>
              <c:f>'Example_Weekly Report'!$C$24:$AF$24</c:f>
              <c:numCache>
                <c:formatCode>General</c:formatCode>
                <c:ptCount val="30"/>
                <c:pt idx="0">
                  <c:v>0</c:v>
                </c:pt>
                <c:pt idx="1">
                  <c:v>0</c:v>
                </c:pt>
                <c:pt idx="2">
                  <c:v>0</c:v>
                </c:pt>
                <c:pt idx="3">
                  <c:v>0</c:v>
                </c:pt>
                <c:pt idx="4">
                  <c:v>0</c:v>
                </c:pt>
                <c:pt idx="5">
                  <c:v>0</c:v>
                </c:pt>
                <c:pt idx="6">
                  <c:v>9</c:v>
                </c:pt>
                <c:pt idx="7">
                  <c:v>24</c:v>
                </c:pt>
                <c:pt idx="8">
                  <c:v>18</c:v>
                </c:pt>
                <c:pt idx="9">
                  <c:v>24</c:v>
                </c:pt>
                <c:pt idx="10">
                  <c:v>24</c:v>
                </c:pt>
                <c:pt idx="11">
                  <c:v>15</c:v>
                </c:pt>
                <c:pt idx="12">
                  <c:v>21</c:v>
                </c:pt>
                <c:pt idx="13">
                  <c:v>27</c:v>
                </c:pt>
                <c:pt idx="14">
                  <c:v>24</c:v>
                </c:pt>
                <c:pt idx="15">
                  <c:v>11</c:v>
                </c:pt>
                <c:pt idx="16">
                  <c:v>8</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A27C-4581-BA0D-D73EC46D6064}"/>
            </c:ext>
          </c:extLst>
        </c:ser>
        <c:dLbls>
          <c:showLegendKey val="0"/>
          <c:showVal val="0"/>
          <c:showCatName val="0"/>
          <c:showSerName val="0"/>
          <c:showPercent val="0"/>
          <c:showBubbleSize val="0"/>
        </c:dLbls>
        <c:gapWidth val="150"/>
        <c:axId val="75125504"/>
        <c:axId val="75127424"/>
      </c:barChart>
      <c:lineChart>
        <c:grouping val="standard"/>
        <c:varyColors val="0"/>
        <c:ser>
          <c:idx val="0"/>
          <c:order val="2"/>
          <c:tx>
            <c:strRef>
              <c:f>'Example_Weekly Report'!$B$26</c:f>
              <c:strCache>
                <c:ptCount val="1"/>
                <c:pt idx="0">
                  <c:v>Plan (accum.)</c:v>
                </c:pt>
              </c:strCache>
            </c:strRef>
          </c:tx>
          <c:spPr>
            <a:ln w="12700">
              <a:solidFill>
                <a:srgbClr val="000000"/>
              </a:solidFill>
              <a:prstDash val="sysDash"/>
            </a:ln>
          </c:spPr>
          <c:marker>
            <c:symbol val="diamond"/>
            <c:size val="5"/>
            <c:spPr>
              <a:solidFill>
                <a:srgbClr val="FFFFFF"/>
              </a:solidFill>
              <a:ln>
                <a:solidFill>
                  <a:srgbClr val="000000"/>
                </a:solidFill>
                <a:prstDash val="solid"/>
              </a:ln>
            </c:spPr>
          </c:marker>
          <c:val>
            <c:numRef>
              <c:f>'Example_Weekly Report'!$C$26:$AF$26</c:f>
              <c:numCache>
                <c:formatCode>General</c:formatCode>
                <c:ptCount val="30"/>
                <c:pt idx="0">
                  <c:v>0</c:v>
                </c:pt>
                <c:pt idx="1">
                  <c:v>0</c:v>
                </c:pt>
                <c:pt idx="2">
                  <c:v>0</c:v>
                </c:pt>
                <c:pt idx="3">
                  <c:v>0</c:v>
                </c:pt>
                <c:pt idx="4">
                  <c:v>0</c:v>
                </c:pt>
                <c:pt idx="5">
                  <c:v>0</c:v>
                </c:pt>
                <c:pt idx="6">
                  <c:v>9</c:v>
                </c:pt>
                <c:pt idx="7">
                  <c:v>33</c:v>
                </c:pt>
                <c:pt idx="8">
                  <c:v>51</c:v>
                </c:pt>
                <c:pt idx="9">
                  <c:v>72</c:v>
                </c:pt>
                <c:pt idx="10">
                  <c:v>90</c:v>
                </c:pt>
                <c:pt idx="11">
                  <c:v>114</c:v>
                </c:pt>
                <c:pt idx="12">
                  <c:v>135</c:v>
                </c:pt>
                <c:pt idx="13">
                  <c:v>159</c:v>
                </c:pt>
                <c:pt idx="14">
                  <c:v>180</c:v>
                </c:pt>
                <c:pt idx="15">
                  <c:v>192</c:v>
                </c:pt>
                <c:pt idx="16">
                  <c:v>207</c:v>
                </c:pt>
                <c:pt idx="17">
                  <c:v>219</c:v>
                </c:pt>
                <c:pt idx="18">
                  <c:v>219</c:v>
                </c:pt>
                <c:pt idx="19">
                  <c:v>219</c:v>
                </c:pt>
                <c:pt idx="20">
                  <c:v>219</c:v>
                </c:pt>
                <c:pt idx="21">
                  <c:v>219</c:v>
                </c:pt>
                <c:pt idx="22">
                  <c:v>219</c:v>
                </c:pt>
                <c:pt idx="23">
                  <c:v>219</c:v>
                </c:pt>
                <c:pt idx="24">
                  <c:v>219</c:v>
                </c:pt>
                <c:pt idx="25">
                  <c:v>219</c:v>
                </c:pt>
                <c:pt idx="26">
                  <c:v>219</c:v>
                </c:pt>
                <c:pt idx="27">
                  <c:v>219</c:v>
                </c:pt>
                <c:pt idx="28">
                  <c:v>219</c:v>
                </c:pt>
                <c:pt idx="29">
                  <c:v>219</c:v>
                </c:pt>
              </c:numCache>
            </c:numRef>
          </c:val>
          <c:smooth val="0"/>
          <c:extLst>
            <c:ext xmlns:c16="http://schemas.microsoft.com/office/drawing/2014/chart" uri="{C3380CC4-5D6E-409C-BE32-E72D297353CC}">
              <c16:uniqueId val="{00000002-A27C-4581-BA0D-D73EC46D6064}"/>
            </c:ext>
          </c:extLst>
        </c:ser>
        <c:ser>
          <c:idx val="1"/>
          <c:order val="3"/>
          <c:tx>
            <c:strRef>
              <c:f>'Example_Weekly Report'!$B$27</c:f>
              <c:strCache>
                <c:ptCount val="1"/>
                <c:pt idx="0">
                  <c:v>Result (accum.)</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val>
            <c:numRef>
              <c:f>'Example_Weekly Report'!$C$27:$AF$27</c:f>
              <c:numCache>
                <c:formatCode>General</c:formatCode>
                <c:ptCount val="30"/>
                <c:pt idx="0">
                  <c:v>0</c:v>
                </c:pt>
                <c:pt idx="1">
                  <c:v>0</c:v>
                </c:pt>
                <c:pt idx="2">
                  <c:v>0</c:v>
                </c:pt>
                <c:pt idx="3">
                  <c:v>0</c:v>
                </c:pt>
                <c:pt idx="4">
                  <c:v>0</c:v>
                </c:pt>
                <c:pt idx="5">
                  <c:v>0</c:v>
                </c:pt>
                <c:pt idx="6">
                  <c:v>9</c:v>
                </c:pt>
                <c:pt idx="7">
                  <c:v>33</c:v>
                </c:pt>
                <c:pt idx="8">
                  <c:v>51</c:v>
                </c:pt>
                <c:pt idx="9">
                  <c:v>75</c:v>
                </c:pt>
                <c:pt idx="10">
                  <c:v>99</c:v>
                </c:pt>
                <c:pt idx="11">
                  <c:v>114</c:v>
                </c:pt>
                <c:pt idx="12">
                  <c:v>135</c:v>
                </c:pt>
                <c:pt idx="13">
                  <c:v>162</c:v>
                </c:pt>
                <c:pt idx="14">
                  <c:v>186</c:v>
                </c:pt>
                <c:pt idx="15">
                  <c:v>197</c:v>
                </c:pt>
                <c:pt idx="16">
                  <c:v>205</c:v>
                </c:pt>
                <c:pt idx="17">
                  <c:v>205</c:v>
                </c:pt>
                <c:pt idx="18">
                  <c:v>205</c:v>
                </c:pt>
                <c:pt idx="19">
                  <c:v>205</c:v>
                </c:pt>
                <c:pt idx="20">
                  <c:v>205</c:v>
                </c:pt>
                <c:pt idx="21">
                  <c:v>205</c:v>
                </c:pt>
                <c:pt idx="22">
                  <c:v>205</c:v>
                </c:pt>
                <c:pt idx="23">
                  <c:v>205</c:v>
                </c:pt>
                <c:pt idx="24">
                  <c:v>205</c:v>
                </c:pt>
                <c:pt idx="25">
                  <c:v>205</c:v>
                </c:pt>
                <c:pt idx="26">
                  <c:v>205</c:v>
                </c:pt>
                <c:pt idx="27">
                  <c:v>205</c:v>
                </c:pt>
                <c:pt idx="28">
                  <c:v>205</c:v>
                </c:pt>
                <c:pt idx="29">
                  <c:v>205</c:v>
                </c:pt>
              </c:numCache>
            </c:numRef>
          </c:val>
          <c:smooth val="0"/>
          <c:extLst>
            <c:ext xmlns:c16="http://schemas.microsoft.com/office/drawing/2014/chart" uri="{C3380CC4-5D6E-409C-BE32-E72D297353CC}">
              <c16:uniqueId val="{00000003-A27C-4581-BA0D-D73EC46D6064}"/>
            </c:ext>
          </c:extLst>
        </c:ser>
        <c:dLbls>
          <c:showLegendKey val="0"/>
          <c:showVal val="0"/>
          <c:showCatName val="0"/>
          <c:showSerName val="0"/>
          <c:showPercent val="0"/>
          <c:showBubbleSize val="0"/>
        </c:dLbls>
        <c:marker val="1"/>
        <c:smooth val="0"/>
        <c:axId val="75174272"/>
        <c:axId val="75175808"/>
      </c:lineChart>
      <c:catAx>
        <c:axId val="75125504"/>
        <c:scaling>
          <c:orientation val="minMax"/>
        </c:scaling>
        <c:delete val="0"/>
        <c:axPos val="b"/>
        <c:majorTickMark val="in"/>
        <c:minorTickMark val="none"/>
        <c:tickLblPos val="none"/>
        <c:spPr>
          <a:ln w="3175">
            <a:solidFill>
              <a:srgbClr val="000000"/>
            </a:solidFill>
            <a:prstDash val="solid"/>
          </a:ln>
        </c:spPr>
        <c:crossAx val="75127424"/>
        <c:crosses val="autoZero"/>
        <c:auto val="0"/>
        <c:lblAlgn val="ctr"/>
        <c:lblOffset val="100"/>
        <c:tickLblSkip val="10"/>
        <c:tickMarkSkip val="1"/>
        <c:noMultiLvlLbl val="0"/>
      </c:catAx>
      <c:valAx>
        <c:axId val="75127424"/>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5125504"/>
        <c:crosses val="autoZero"/>
        <c:crossBetween val="between"/>
      </c:valAx>
      <c:catAx>
        <c:axId val="75174272"/>
        <c:scaling>
          <c:orientation val="minMax"/>
        </c:scaling>
        <c:delete val="1"/>
        <c:axPos val="b"/>
        <c:majorTickMark val="out"/>
        <c:minorTickMark val="none"/>
        <c:tickLblPos val="none"/>
        <c:crossAx val="75175808"/>
        <c:crosses val="autoZero"/>
        <c:auto val="0"/>
        <c:lblAlgn val="ctr"/>
        <c:lblOffset val="100"/>
        <c:noMultiLvlLbl val="0"/>
      </c:catAx>
      <c:valAx>
        <c:axId val="75175808"/>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5174272"/>
        <c:crosses val="max"/>
        <c:crossBetween val="between"/>
      </c:valAx>
      <c:spPr>
        <a:solidFill>
          <a:srgbClr val="FFFFFF"/>
        </a:solidFill>
        <a:ln w="12700">
          <a:solidFill>
            <a:srgbClr val="FFFFFF"/>
          </a:solidFill>
          <a:prstDash val="solid"/>
        </a:ln>
      </c:spPr>
    </c:plotArea>
    <c:legend>
      <c:legendPos val="r"/>
      <c:layout>
        <c:manualLayout>
          <c:xMode val="edge"/>
          <c:yMode val="edge"/>
          <c:x val="0.80642693190512627"/>
          <c:y val="0.11627995003595896"/>
          <c:w val="0.13159908186687069"/>
          <c:h val="0.72093569022294557"/>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Page &amp;P</c:oddFooter>
    </c:headerFooter>
    <c:pageMargins b="0.98425196850393704" l="0" r="0" t="0.98425196850393704" header="0.51181102362204722" footer="0.51181102362204722"/>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DE41-4EC7-8D4B-40155AE72A9D}"/>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DE41-4EC7-8D4B-40155AE72A9D}"/>
            </c:ext>
          </c:extLst>
        </c:ser>
        <c:dLbls>
          <c:showLegendKey val="0"/>
          <c:showVal val="0"/>
          <c:showCatName val="0"/>
          <c:showSerName val="0"/>
          <c:showPercent val="0"/>
          <c:showBubbleSize val="0"/>
        </c:dLbls>
        <c:gapWidth val="150"/>
        <c:axId val="75202944"/>
        <c:axId val="75204864"/>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DE41-4EC7-8D4B-40155AE72A9D}"/>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DE41-4EC7-8D4B-40155AE72A9D}"/>
            </c:ext>
          </c:extLst>
        </c:ser>
        <c:dLbls>
          <c:showLegendKey val="0"/>
          <c:showVal val="0"/>
          <c:showCatName val="0"/>
          <c:showSerName val="0"/>
          <c:showPercent val="0"/>
          <c:showBubbleSize val="0"/>
        </c:dLbls>
        <c:marker val="1"/>
        <c:smooth val="0"/>
        <c:axId val="75210752"/>
        <c:axId val="75212288"/>
      </c:lineChart>
      <c:catAx>
        <c:axId val="75202944"/>
        <c:scaling>
          <c:orientation val="minMax"/>
        </c:scaling>
        <c:delete val="0"/>
        <c:axPos val="b"/>
        <c:majorTickMark val="in"/>
        <c:minorTickMark val="none"/>
        <c:tickLblPos val="none"/>
        <c:spPr>
          <a:ln w="3175">
            <a:solidFill>
              <a:srgbClr val="000000"/>
            </a:solidFill>
            <a:prstDash val="solid"/>
          </a:ln>
        </c:spPr>
        <c:crossAx val="75204864"/>
        <c:crosses val="autoZero"/>
        <c:auto val="0"/>
        <c:lblAlgn val="ctr"/>
        <c:lblOffset val="100"/>
        <c:tickMarkSkip val="1"/>
        <c:noMultiLvlLbl val="0"/>
      </c:catAx>
      <c:valAx>
        <c:axId val="75204864"/>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5202944"/>
        <c:crosses val="autoZero"/>
        <c:crossBetween val="between"/>
        <c:majorUnit val="500"/>
      </c:valAx>
      <c:catAx>
        <c:axId val="75210752"/>
        <c:scaling>
          <c:orientation val="minMax"/>
        </c:scaling>
        <c:delete val="1"/>
        <c:axPos val="b"/>
        <c:majorTickMark val="out"/>
        <c:minorTickMark val="none"/>
        <c:tickLblPos val="none"/>
        <c:crossAx val="75212288"/>
        <c:crosses val="autoZero"/>
        <c:auto val="0"/>
        <c:lblAlgn val="ctr"/>
        <c:lblOffset val="100"/>
        <c:noMultiLvlLbl val="0"/>
      </c:catAx>
      <c:valAx>
        <c:axId val="75212288"/>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5210752"/>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61B8-4204-8917-B8683ED223DC}"/>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61B8-4204-8917-B8683ED223DC}"/>
            </c:ext>
          </c:extLst>
        </c:ser>
        <c:dLbls>
          <c:showLegendKey val="0"/>
          <c:showVal val="0"/>
          <c:showCatName val="0"/>
          <c:showSerName val="0"/>
          <c:showPercent val="0"/>
          <c:showBubbleSize val="0"/>
        </c:dLbls>
        <c:gapWidth val="150"/>
        <c:axId val="76385664"/>
        <c:axId val="77510144"/>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61B8-4204-8917-B8683ED223DC}"/>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61B8-4204-8917-B8683ED223DC}"/>
            </c:ext>
          </c:extLst>
        </c:ser>
        <c:dLbls>
          <c:showLegendKey val="0"/>
          <c:showVal val="0"/>
          <c:showCatName val="0"/>
          <c:showSerName val="0"/>
          <c:showPercent val="0"/>
          <c:showBubbleSize val="0"/>
        </c:dLbls>
        <c:marker val="1"/>
        <c:smooth val="0"/>
        <c:axId val="77511680"/>
        <c:axId val="77521664"/>
      </c:lineChart>
      <c:catAx>
        <c:axId val="76385664"/>
        <c:scaling>
          <c:orientation val="minMax"/>
        </c:scaling>
        <c:delete val="0"/>
        <c:axPos val="b"/>
        <c:majorTickMark val="in"/>
        <c:minorTickMark val="none"/>
        <c:tickLblPos val="none"/>
        <c:spPr>
          <a:ln w="3175">
            <a:solidFill>
              <a:srgbClr val="000000"/>
            </a:solidFill>
            <a:prstDash val="solid"/>
          </a:ln>
        </c:spPr>
        <c:crossAx val="77510144"/>
        <c:crosses val="autoZero"/>
        <c:auto val="0"/>
        <c:lblAlgn val="ctr"/>
        <c:lblOffset val="100"/>
        <c:tickMarkSkip val="1"/>
        <c:noMultiLvlLbl val="0"/>
      </c:catAx>
      <c:valAx>
        <c:axId val="77510144"/>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6385664"/>
        <c:crosses val="autoZero"/>
        <c:crossBetween val="between"/>
        <c:majorUnit val="25"/>
      </c:valAx>
      <c:catAx>
        <c:axId val="77511680"/>
        <c:scaling>
          <c:orientation val="minMax"/>
        </c:scaling>
        <c:delete val="1"/>
        <c:axPos val="b"/>
        <c:majorTickMark val="out"/>
        <c:minorTickMark val="none"/>
        <c:tickLblPos val="none"/>
        <c:crossAx val="77521664"/>
        <c:crosses val="autoZero"/>
        <c:auto val="0"/>
        <c:lblAlgn val="ctr"/>
        <c:lblOffset val="100"/>
        <c:noMultiLvlLbl val="0"/>
      </c:catAx>
      <c:valAx>
        <c:axId val="77521664"/>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7511680"/>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C18A-4520-8B0C-A0FAC8A87026}"/>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C18A-4520-8B0C-A0FAC8A87026}"/>
            </c:ext>
          </c:extLst>
        </c:ser>
        <c:dLbls>
          <c:showLegendKey val="0"/>
          <c:showVal val="0"/>
          <c:showCatName val="0"/>
          <c:showSerName val="0"/>
          <c:showPercent val="0"/>
          <c:showBubbleSize val="0"/>
        </c:dLbls>
        <c:gapWidth val="150"/>
        <c:axId val="77736960"/>
        <c:axId val="77747328"/>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C18A-4520-8B0C-A0FAC8A87026}"/>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C18A-4520-8B0C-A0FAC8A87026}"/>
            </c:ext>
          </c:extLst>
        </c:ser>
        <c:dLbls>
          <c:showLegendKey val="0"/>
          <c:showVal val="0"/>
          <c:showCatName val="0"/>
          <c:showSerName val="0"/>
          <c:showPercent val="0"/>
          <c:showBubbleSize val="0"/>
        </c:dLbls>
        <c:marker val="1"/>
        <c:smooth val="0"/>
        <c:axId val="77748864"/>
        <c:axId val="77758848"/>
      </c:lineChart>
      <c:catAx>
        <c:axId val="77736960"/>
        <c:scaling>
          <c:orientation val="minMax"/>
        </c:scaling>
        <c:delete val="0"/>
        <c:axPos val="b"/>
        <c:majorTickMark val="in"/>
        <c:minorTickMark val="none"/>
        <c:tickLblPos val="none"/>
        <c:spPr>
          <a:ln w="3175">
            <a:solidFill>
              <a:srgbClr val="000000"/>
            </a:solidFill>
            <a:prstDash val="solid"/>
          </a:ln>
        </c:spPr>
        <c:crossAx val="77747328"/>
        <c:crosses val="autoZero"/>
        <c:auto val="0"/>
        <c:lblAlgn val="ctr"/>
        <c:lblOffset val="100"/>
        <c:tickLblSkip val="10"/>
        <c:tickMarkSkip val="1"/>
        <c:noMultiLvlLbl val="0"/>
      </c:catAx>
      <c:valAx>
        <c:axId val="77747328"/>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7736960"/>
        <c:crosses val="autoZero"/>
        <c:crossBetween val="between"/>
      </c:valAx>
      <c:catAx>
        <c:axId val="77748864"/>
        <c:scaling>
          <c:orientation val="minMax"/>
        </c:scaling>
        <c:delete val="1"/>
        <c:axPos val="b"/>
        <c:majorTickMark val="out"/>
        <c:minorTickMark val="none"/>
        <c:tickLblPos val="none"/>
        <c:crossAx val="77758848"/>
        <c:crosses val="autoZero"/>
        <c:auto val="0"/>
        <c:lblAlgn val="ctr"/>
        <c:lblOffset val="100"/>
        <c:noMultiLvlLbl val="0"/>
      </c:catAx>
      <c:valAx>
        <c:axId val="77758848"/>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77748864"/>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83F3-40EB-923D-D86881EDB8F8}"/>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83F3-40EB-923D-D86881EDB8F8}"/>
            </c:ext>
          </c:extLst>
        </c:ser>
        <c:dLbls>
          <c:showLegendKey val="0"/>
          <c:showVal val="0"/>
          <c:showCatName val="0"/>
          <c:showSerName val="0"/>
          <c:showPercent val="0"/>
          <c:showBubbleSize val="0"/>
        </c:dLbls>
        <c:gapWidth val="150"/>
        <c:axId val="87046784"/>
        <c:axId val="87053056"/>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83F3-40EB-923D-D86881EDB8F8}"/>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83F3-40EB-923D-D86881EDB8F8}"/>
            </c:ext>
          </c:extLst>
        </c:ser>
        <c:dLbls>
          <c:showLegendKey val="0"/>
          <c:showVal val="0"/>
          <c:showCatName val="0"/>
          <c:showSerName val="0"/>
          <c:showPercent val="0"/>
          <c:showBubbleSize val="0"/>
        </c:dLbls>
        <c:marker val="1"/>
        <c:smooth val="0"/>
        <c:axId val="87054592"/>
        <c:axId val="87060480"/>
      </c:lineChart>
      <c:catAx>
        <c:axId val="87046784"/>
        <c:scaling>
          <c:orientation val="minMax"/>
        </c:scaling>
        <c:delete val="0"/>
        <c:axPos val="b"/>
        <c:majorTickMark val="in"/>
        <c:minorTickMark val="none"/>
        <c:tickLblPos val="none"/>
        <c:spPr>
          <a:ln w="3175">
            <a:solidFill>
              <a:srgbClr val="000000"/>
            </a:solidFill>
            <a:prstDash val="solid"/>
          </a:ln>
        </c:spPr>
        <c:crossAx val="87053056"/>
        <c:crosses val="autoZero"/>
        <c:auto val="0"/>
        <c:lblAlgn val="ctr"/>
        <c:lblOffset val="100"/>
        <c:tickMarkSkip val="1"/>
        <c:noMultiLvlLbl val="0"/>
      </c:catAx>
      <c:valAx>
        <c:axId val="87053056"/>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046784"/>
        <c:crosses val="autoZero"/>
        <c:crossBetween val="between"/>
        <c:majorUnit val="500"/>
      </c:valAx>
      <c:catAx>
        <c:axId val="87054592"/>
        <c:scaling>
          <c:orientation val="minMax"/>
        </c:scaling>
        <c:delete val="1"/>
        <c:axPos val="b"/>
        <c:majorTickMark val="out"/>
        <c:minorTickMark val="none"/>
        <c:tickLblPos val="none"/>
        <c:crossAx val="87060480"/>
        <c:crosses val="autoZero"/>
        <c:auto val="0"/>
        <c:lblAlgn val="ctr"/>
        <c:lblOffset val="100"/>
        <c:noMultiLvlLbl val="0"/>
      </c:catAx>
      <c:valAx>
        <c:axId val="87060480"/>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054592"/>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A34E-4F08-AB8C-D1413051FAAE}"/>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A34E-4F08-AB8C-D1413051FAAE}"/>
            </c:ext>
          </c:extLst>
        </c:ser>
        <c:dLbls>
          <c:showLegendKey val="0"/>
          <c:showVal val="0"/>
          <c:showCatName val="0"/>
          <c:showSerName val="0"/>
          <c:showPercent val="0"/>
          <c:showBubbleSize val="0"/>
        </c:dLbls>
        <c:gapWidth val="150"/>
        <c:axId val="87079168"/>
        <c:axId val="87085440"/>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A34E-4F08-AB8C-D1413051FAAE}"/>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A34E-4F08-AB8C-D1413051FAAE}"/>
            </c:ext>
          </c:extLst>
        </c:ser>
        <c:dLbls>
          <c:showLegendKey val="0"/>
          <c:showVal val="0"/>
          <c:showCatName val="0"/>
          <c:showSerName val="0"/>
          <c:showPercent val="0"/>
          <c:showBubbleSize val="0"/>
        </c:dLbls>
        <c:marker val="1"/>
        <c:smooth val="0"/>
        <c:axId val="87086976"/>
        <c:axId val="87088512"/>
      </c:lineChart>
      <c:catAx>
        <c:axId val="87079168"/>
        <c:scaling>
          <c:orientation val="minMax"/>
        </c:scaling>
        <c:delete val="0"/>
        <c:axPos val="b"/>
        <c:majorTickMark val="in"/>
        <c:minorTickMark val="none"/>
        <c:tickLblPos val="none"/>
        <c:spPr>
          <a:ln w="3175">
            <a:solidFill>
              <a:srgbClr val="000000"/>
            </a:solidFill>
            <a:prstDash val="solid"/>
          </a:ln>
        </c:spPr>
        <c:crossAx val="87085440"/>
        <c:crosses val="autoZero"/>
        <c:auto val="0"/>
        <c:lblAlgn val="ctr"/>
        <c:lblOffset val="100"/>
        <c:tickMarkSkip val="1"/>
        <c:noMultiLvlLbl val="0"/>
      </c:catAx>
      <c:valAx>
        <c:axId val="87085440"/>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079168"/>
        <c:crosses val="autoZero"/>
        <c:crossBetween val="between"/>
        <c:majorUnit val="25"/>
      </c:valAx>
      <c:catAx>
        <c:axId val="87086976"/>
        <c:scaling>
          <c:orientation val="minMax"/>
        </c:scaling>
        <c:delete val="1"/>
        <c:axPos val="b"/>
        <c:majorTickMark val="out"/>
        <c:minorTickMark val="none"/>
        <c:tickLblPos val="none"/>
        <c:crossAx val="87088512"/>
        <c:crosses val="autoZero"/>
        <c:auto val="0"/>
        <c:lblAlgn val="ctr"/>
        <c:lblOffset val="100"/>
        <c:noMultiLvlLbl val="0"/>
      </c:catAx>
      <c:valAx>
        <c:axId val="87088512"/>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086976"/>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0-12D1-44CF-9008-EB44843D71D6}"/>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1</c:v>
              </c:pt>
            </c:numLit>
          </c:val>
          <c:extLst>
            <c:ext xmlns:c16="http://schemas.microsoft.com/office/drawing/2014/chart" uri="{C3380CC4-5D6E-409C-BE32-E72D297353CC}">
              <c16:uniqueId val="{00000001-12D1-44CF-9008-EB44843D71D6}"/>
            </c:ext>
          </c:extLst>
        </c:ser>
        <c:dLbls>
          <c:showLegendKey val="0"/>
          <c:showVal val="0"/>
          <c:showCatName val="0"/>
          <c:showSerName val="0"/>
          <c:showPercent val="0"/>
          <c:showBubbleSize val="0"/>
        </c:dLbls>
        <c:gapWidth val="150"/>
        <c:axId val="87721856"/>
        <c:axId val="87744512"/>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2-12D1-44CF-9008-EB44843D71D6}"/>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1</c:v>
              </c:pt>
            </c:numLit>
          </c:val>
          <c:smooth val="0"/>
          <c:extLst>
            <c:ext xmlns:c16="http://schemas.microsoft.com/office/drawing/2014/chart" uri="{C3380CC4-5D6E-409C-BE32-E72D297353CC}">
              <c16:uniqueId val="{00000003-12D1-44CF-9008-EB44843D71D6}"/>
            </c:ext>
          </c:extLst>
        </c:ser>
        <c:dLbls>
          <c:showLegendKey val="0"/>
          <c:showVal val="0"/>
          <c:showCatName val="0"/>
          <c:showSerName val="0"/>
          <c:showPercent val="0"/>
          <c:showBubbleSize val="0"/>
        </c:dLbls>
        <c:marker val="1"/>
        <c:smooth val="0"/>
        <c:axId val="87746048"/>
        <c:axId val="87747584"/>
      </c:lineChart>
      <c:catAx>
        <c:axId val="87721856"/>
        <c:scaling>
          <c:orientation val="minMax"/>
        </c:scaling>
        <c:delete val="0"/>
        <c:axPos val="b"/>
        <c:majorTickMark val="in"/>
        <c:minorTickMark val="none"/>
        <c:tickLblPos val="none"/>
        <c:spPr>
          <a:ln w="3175">
            <a:solidFill>
              <a:srgbClr val="000000"/>
            </a:solidFill>
            <a:prstDash val="solid"/>
          </a:ln>
        </c:spPr>
        <c:crossAx val="87744512"/>
        <c:crosses val="autoZero"/>
        <c:auto val="0"/>
        <c:lblAlgn val="ctr"/>
        <c:lblOffset val="100"/>
        <c:tickLblSkip val="10"/>
        <c:tickMarkSkip val="1"/>
        <c:noMultiLvlLbl val="0"/>
      </c:catAx>
      <c:valAx>
        <c:axId val="87744512"/>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721856"/>
        <c:crosses val="autoZero"/>
        <c:crossBetween val="between"/>
      </c:valAx>
      <c:catAx>
        <c:axId val="87746048"/>
        <c:scaling>
          <c:orientation val="minMax"/>
        </c:scaling>
        <c:delete val="1"/>
        <c:axPos val="b"/>
        <c:majorTickMark val="out"/>
        <c:minorTickMark val="none"/>
        <c:tickLblPos val="none"/>
        <c:crossAx val="87747584"/>
        <c:crosses val="autoZero"/>
        <c:auto val="0"/>
        <c:lblAlgn val="ctr"/>
        <c:lblOffset val="100"/>
        <c:noMultiLvlLbl val="0"/>
      </c:catAx>
      <c:valAx>
        <c:axId val="87747584"/>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746048"/>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9657853810264383E-2"/>
          <c:y val="0.13178394337408683"/>
          <c:w val="0.92768273716951788"/>
          <c:h val="0.75969567356826528"/>
        </c:manualLayout>
      </c:layout>
      <c:barChart>
        <c:barDir val="col"/>
        <c:grouping val="clustered"/>
        <c:varyColors val="0"/>
        <c:ser>
          <c:idx val="2"/>
          <c:order val="0"/>
          <c:tx>
            <c:strRef>
              <c:f>'Example_Weekly Report'!$B$38</c:f>
              <c:strCache>
                <c:ptCount val="1"/>
                <c:pt idx="0">
                  <c:v>Test Plan (weekly)</c:v>
                </c:pt>
              </c:strCache>
            </c:strRef>
          </c:tx>
          <c:spPr>
            <a:solidFill>
              <a:srgbClr val="FFFFFF"/>
            </a:solidFill>
            <a:ln w="12700">
              <a:solidFill>
                <a:srgbClr val="000000"/>
              </a:solidFill>
              <a:prstDash val="solid"/>
            </a:ln>
          </c:spPr>
          <c:invertIfNegative val="0"/>
          <c:val>
            <c:numRef>
              <c:f>'Example_Weekly Report'!$C$38:$AF$38</c:f>
              <c:numCache>
                <c:formatCode>General</c:formatCode>
                <c:ptCount val="30"/>
                <c:pt idx="0">
                  <c:v>0</c:v>
                </c:pt>
                <c:pt idx="1">
                  <c:v>0</c:v>
                </c:pt>
                <c:pt idx="2">
                  <c:v>0</c:v>
                </c:pt>
                <c:pt idx="3">
                  <c:v>0</c:v>
                </c:pt>
                <c:pt idx="4">
                  <c:v>0</c:v>
                </c:pt>
                <c:pt idx="5">
                  <c:v>0</c:v>
                </c:pt>
                <c:pt idx="6">
                  <c:v>16</c:v>
                </c:pt>
                <c:pt idx="7">
                  <c:v>25</c:v>
                </c:pt>
                <c:pt idx="8">
                  <c:v>30</c:v>
                </c:pt>
                <c:pt idx="9">
                  <c:v>130</c:v>
                </c:pt>
                <c:pt idx="10">
                  <c:v>125</c:v>
                </c:pt>
                <c:pt idx="11">
                  <c:v>160</c:v>
                </c:pt>
                <c:pt idx="12">
                  <c:v>250</c:v>
                </c:pt>
                <c:pt idx="13">
                  <c:v>120</c:v>
                </c:pt>
                <c:pt idx="14">
                  <c:v>120</c:v>
                </c:pt>
                <c:pt idx="15">
                  <c:v>180</c:v>
                </c:pt>
                <c:pt idx="16">
                  <c:v>110</c:v>
                </c:pt>
                <c:pt idx="17">
                  <c:v>150</c:v>
                </c:pt>
              </c:numCache>
            </c:numRef>
          </c:val>
          <c:extLst>
            <c:ext xmlns:c16="http://schemas.microsoft.com/office/drawing/2014/chart" uri="{C3380CC4-5D6E-409C-BE32-E72D297353CC}">
              <c16:uniqueId val="{00000000-C019-4FE0-A0D5-BEF981B09B27}"/>
            </c:ext>
          </c:extLst>
        </c:ser>
        <c:ser>
          <c:idx val="4"/>
          <c:order val="4"/>
          <c:tx>
            <c:strRef>
              <c:f>'Example_Weekly Report'!$B$39</c:f>
              <c:strCache>
                <c:ptCount val="1"/>
                <c:pt idx="0">
                  <c:v>Test Result (weekly)</c:v>
                </c:pt>
              </c:strCache>
            </c:strRef>
          </c:tx>
          <c:spPr>
            <a:solidFill>
              <a:srgbClr val="000000"/>
            </a:solidFill>
            <a:ln w="12700">
              <a:solidFill>
                <a:srgbClr val="000000"/>
              </a:solidFill>
              <a:prstDash val="solid"/>
            </a:ln>
          </c:spPr>
          <c:invertIfNegative val="0"/>
          <c:val>
            <c:numRef>
              <c:f>'Example_Weekly Report'!$C$39:$AF$39</c:f>
              <c:numCache>
                <c:formatCode>General</c:formatCode>
                <c:ptCount val="30"/>
                <c:pt idx="0">
                  <c:v>0</c:v>
                </c:pt>
                <c:pt idx="1">
                  <c:v>0</c:v>
                </c:pt>
                <c:pt idx="2">
                  <c:v>0</c:v>
                </c:pt>
                <c:pt idx="3">
                  <c:v>0</c:v>
                </c:pt>
                <c:pt idx="4">
                  <c:v>0</c:v>
                </c:pt>
                <c:pt idx="5">
                  <c:v>0</c:v>
                </c:pt>
                <c:pt idx="6">
                  <c:v>16</c:v>
                </c:pt>
                <c:pt idx="7">
                  <c:v>25</c:v>
                </c:pt>
                <c:pt idx="8">
                  <c:v>30</c:v>
                </c:pt>
                <c:pt idx="9">
                  <c:v>130</c:v>
                </c:pt>
                <c:pt idx="10">
                  <c:v>125</c:v>
                </c:pt>
                <c:pt idx="11">
                  <c:v>160</c:v>
                </c:pt>
                <c:pt idx="12">
                  <c:v>250</c:v>
                </c:pt>
                <c:pt idx="13">
                  <c:v>120</c:v>
                </c:pt>
                <c:pt idx="14">
                  <c:v>120</c:v>
                </c:pt>
                <c:pt idx="15">
                  <c:v>180</c:v>
                </c:pt>
                <c:pt idx="16">
                  <c:v>90</c:v>
                </c:pt>
                <c:pt idx="17">
                  <c:v>0</c:v>
                </c:pt>
              </c:numCache>
            </c:numRef>
          </c:val>
          <c:extLst>
            <c:ext xmlns:c16="http://schemas.microsoft.com/office/drawing/2014/chart" uri="{C3380CC4-5D6E-409C-BE32-E72D297353CC}">
              <c16:uniqueId val="{00000001-C019-4FE0-A0D5-BEF981B09B27}"/>
            </c:ext>
          </c:extLst>
        </c:ser>
        <c:dLbls>
          <c:showLegendKey val="0"/>
          <c:showVal val="0"/>
          <c:showCatName val="0"/>
          <c:showSerName val="0"/>
          <c:showPercent val="0"/>
          <c:showBubbleSize val="0"/>
        </c:dLbls>
        <c:gapWidth val="150"/>
        <c:axId val="87776640"/>
        <c:axId val="87782912"/>
      </c:barChart>
      <c:lineChart>
        <c:grouping val="standard"/>
        <c:varyColors val="0"/>
        <c:ser>
          <c:idx val="3"/>
          <c:order val="1"/>
          <c:tx>
            <c:strRef>
              <c:f>'Example_Weekly Report'!$B$42</c:f>
              <c:strCache>
                <c:ptCount val="1"/>
                <c:pt idx="0">
                  <c:v>Test Plan (remained)</c:v>
                </c:pt>
              </c:strCache>
            </c:strRef>
          </c:tx>
          <c:spPr>
            <a:ln w="12700">
              <a:solidFill>
                <a:srgbClr val="000000"/>
              </a:solidFill>
              <a:prstDash val="lgDashDotDot"/>
            </a:ln>
          </c:spPr>
          <c:marker>
            <c:symbol val="x"/>
            <c:size val="5"/>
            <c:spPr>
              <a:noFill/>
              <a:ln>
                <a:solidFill>
                  <a:srgbClr val="000000"/>
                </a:solidFill>
                <a:prstDash val="solid"/>
              </a:ln>
            </c:spPr>
          </c:marker>
          <c:val>
            <c:numRef>
              <c:f>'Example_Weekly Report'!$C$42:$AF$42</c:f>
              <c:numCache>
                <c:formatCode>General</c:formatCode>
                <c:ptCount val="30"/>
                <c:pt idx="0">
                  <c:v>1416</c:v>
                </c:pt>
                <c:pt idx="1">
                  <c:v>1416</c:v>
                </c:pt>
                <c:pt idx="2">
                  <c:v>1416</c:v>
                </c:pt>
                <c:pt idx="3">
                  <c:v>1416</c:v>
                </c:pt>
                <c:pt idx="4">
                  <c:v>1416</c:v>
                </c:pt>
                <c:pt idx="5">
                  <c:v>1416</c:v>
                </c:pt>
                <c:pt idx="6">
                  <c:v>1400</c:v>
                </c:pt>
                <c:pt idx="7">
                  <c:v>1375</c:v>
                </c:pt>
                <c:pt idx="8">
                  <c:v>1345</c:v>
                </c:pt>
                <c:pt idx="9">
                  <c:v>1215</c:v>
                </c:pt>
                <c:pt idx="10">
                  <c:v>1090</c:v>
                </c:pt>
                <c:pt idx="11">
                  <c:v>930</c:v>
                </c:pt>
                <c:pt idx="12">
                  <c:v>680</c:v>
                </c:pt>
                <c:pt idx="13">
                  <c:v>560</c:v>
                </c:pt>
                <c:pt idx="14">
                  <c:v>440</c:v>
                </c:pt>
                <c:pt idx="15">
                  <c:v>260</c:v>
                </c:pt>
                <c:pt idx="16">
                  <c:v>150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C019-4FE0-A0D5-BEF981B09B27}"/>
            </c:ext>
          </c:extLst>
        </c:ser>
        <c:ser>
          <c:idx val="5"/>
          <c:order val="5"/>
          <c:tx>
            <c:strRef>
              <c:f>'Example_Weekly Report'!$B$43</c:f>
              <c:strCache>
                <c:ptCount val="1"/>
                <c:pt idx="0">
                  <c:v>Test Result (remained)</c:v>
                </c:pt>
              </c:strCache>
            </c:strRef>
          </c:tx>
          <c:spPr>
            <a:ln w="12700">
              <a:solidFill>
                <a:srgbClr val="000000"/>
              </a:solidFill>
              <a:prstDash val="lgDashDot"/>
            </a:ln>
          </c:spPr>
          <c:marker>
            <c:symbol val="circle"/>
            <c:size val="5"/>
            <c:spPr>
              <a:solidFill>
                <a:srgbClr val="000000"/>
              </a:solidFill>
              <a:ln>
                <a:solidFill>
                  <a:srgbClr val="000000"/>
                </a:solidFill>
                <a:prstDash val="solid"/>
              </a:ln>
            </c:spPr>
          </c:marker>
          <c:val>
            <c:numRef>
              <c:f>'Example_Weekly Report'!$C$43:$AF$43</c:f>
              <c:numCache>
                <c:formatCode>General</c:formatCode>
                <c:ptCount val="30"/>
                <c:pt idx="0">
                  <c:v>1416</c:v>
                </c:pt>
                <c:pt idx="1">
                  <c:v>1416</c:v>
                </c:pt>
                <c:pt idx="2">
                  <c:v>1416</c:v>
                </c:pt>
                <c:pt idx="3">
                  <c:v>1416</c:v>
                </c:pt>
                <c:pt idx="4">
                  <c:v>1416</c:v>
                </c:pt>
                <c:pt idx="5">
                  <c:v>1416</c:v>
                </c:pt>
                <c:pt idx="6">
                  <c:v>1400</c:v>
                </c:pt>
                <c:pt idx="7">
                  <c:v>1375</c:v>
                </c:pt>
                <c:pt idx="8">
                  <c:v>1345</c:v>
                </c:pt>
                <c:pt idx="9">
                  <c:v>1215</c:v>
                </c:pt>
                <c:pt idx="10">
                  <c:v>1090</c:v>
                </c:pt>
                <c:pt idx="11">
                  <c:v>930</c:v>
                </c:pt>
                <c:pt idx="12">
                  <c:v>680</c:v>
                </c:pt>
                <c:pt idx="13">
                  <c:v>560</c:v>
                </c:pt>
                <c:pt idx="14">
                  <c:v>440</c:v>
                </c:pt>
                <c:pt idx="15">
                  <c:v>260</c:v>
                </c:pt>
                <c:pt idx="16">
                  <c:v>170</c:v>
                </c:pt>
                <c:pt idx="17">
                  <c:v>170</c:v>
                </c:pt>
                <c:pt idx="18">
                  <c:v>170</c:v>
                </c:pt>
                <c:pt idx="19">
                  <c:v>170</c:v>
                </c:pt>
                <c:pt idx="20">
                  <c:v>170</c:v>
                </c:pt>
                <c:pt idx="21">
                  <c:v>170</c:v>
                </c:pt>
                <c:pt idx="22">
                  <c:v>170</c:v>
                </c:pt>
                <c:pt idx="23">
                  <c:v>170</c:v>
                </c:pt>
                <c:pt idx="24">
                  <c:v>170</c:v>
                </c:pt>
                <c:pt idx="25">
                  <c:v>170</c:v>
                </c:pt>
                <c:pt idx="26">
                  <c:v>170</c:v>
                </c:pt>
                <c:pt idx="27">
                  <c:v>170</c:v>
                </c:pt>
                <c:pt idx="28">
                  <c:v>170</c:v>
                </c:pt>
                <c:pt idx="29">
                  <c:v>170</c:v>
                </c:pt>
              </c:numCache>
            </c:numRef>
          </c:val>
          <c:smooth val="0"/>
          <c:extLst>
            <c:ext xmlns:c16="http://schemas.microsoft.com/office/drawing/2014/chart" uri="{C3380CC4-5D6E-409C-BE32-E72D297353CC}">
              <c16:uniqueId val="{00000003-C019-4FE0-A0D5-BEF981B09B27}"/>
            </c:ext>
          </c:extLst>
        </c:ser>
        <c:dLbls>
          <c:showLegendKey val="0"/>
          <c:showVal val="0"/>
          <c:showCatName val="0"/>
          <c:showSerName val="0"/>
          <c:showPercent val="0"/>
          <c:showBubbleSize val="0"/>
        </c:dLbls>
        <c:marker val="1"/>
        <c:smooth val="0"/>
        <c:axId val="87776640"/>
        <c:axId val="87782912"/>
      </c:lineChart>
      <c:lineChart>
        <c:grouping val="standard"/>
        <c:varyColors val="0"/>
        <c:ser>
          <c:idx val="0"/>
          <c:order val="2"/>
          <c:tx>
            <c:strRef>
              <c:f>'Example_Weekly Report'!$B$46</c:f>
              <c:strCache>
                <c:ptCount val="1"/>
                <c:pt idx="0">
                  <c:v>Inc Detected (accum.)</c:v>
                </c:pt>
              </c:strCache>
            </c:strRef>
          </c:tx>
          <c:spPr>
            <a:ln w="12700">
              <a:solidFill>
                <a:srgbClr val="000000"/>
              </a:solidFill>
              <a:prstDash val="sysDash"/>
            </a:ln>
          </c:spPr>
          <c:marker>
            <c:symbol val="diamond"/>
            <c:size val="5"/>
            <c:spPr>
              <a:solidFill>
                <a:srgbClr val="FFFFFF"/>
              </a:solidFill>
              <a:ln>
                <a:solidFill>
                  <a:srgbClr val="000000"/>
                </a:solidFill>
                <a:prstDash val="solid"/>
              </a:ln>
            </c:spPr>
          </c:marker>
          <c:val>
            <c:numRef>
              <c:f>'Example_Weekly Report'!$C$46:$AF$46</c:f>
              <c:numCache>
                <c:formatCode>General</c:formatCode>
                <c:ptCount val="30"/>
                <c:pt idx="0">
                  <c:v>0</c:v>
                </c:pt>
                <c:pt idx="1">
                  <c:v>0</c:v>
                </c:pt>
                <c:pt idx="2">
                  <c:v>0</c:v>
                </c:pt>
                <c:pt idx="3">
                  <c:v>0</c:v>
                </c:pt>
                <c:pt idx="4">
                  <c:v>0</c:v>
                </c:pt>
                <c:pt idx="5">
                  <c:v>0</c:v>
                </c:pt>
                <c:pt idx="6">
                  <c:v>0</c:v>
                </c:pt>
                <c:pt idx="7">
                  <c:v>1</c:v>
                </c:pt>
                <c:pt idx="8">
                  <c:v>10</c:v>
                </c:pt>
                <c:pt idx="9">
                  <c:v>23</c:v>
                </c:pt>
                <c:pt idx="10">
                  <c:v>48</c:v>
                </c:pt>
                <c:pt idx="11">
                  <c:v>79</c:v>
                </c:pt>
                <c:pt idx="12">
                  <c:v>117</c:v>
                </c:pt>
                <c:pt idx="13">
                  <c:v>160</c:v>
                </c:pt>
                <c:pt idx="14">
                  <c:v>180</c:v>
                </c:pt>
                <c:pt idx="15">
                  <c:v>235</c:v>
                </c:pt>
                <c:pt idx="16">
                  <c:v>277</c:v>
                </c:pt>
                <c:pt idx="17">
                  <c:v>277</c:v>
                </c:pt>
                <c:pt idx="18">
                  <c:v>277</c:v>
                </c:pt>
                <c:pt idx="19">
                  <c:v>277</c:v>
                </c:pt>
                <c:pt idx="20">
                  <c:v>277</c:v>
                </c:pt>
                <c:pt idx="21">
                  <c:v>277</c:v>
                </c:pt>
                <c:pt idx="22">
                  <c:v>277</c:v>
                </c:pt>
                <c:pt idx="23">
                  <c:v>277</c:v>
                </c:pt>
                <c:pt idx="24">
                  <c:v>277</c:v>
                </c:pt>
                <c:pt idx="25">
                  <c:v>277</c:v>
                </c:pt>
                <c:pt idx="26">
                  <c:v>277</c:v>
                </c:pt>
                <c:pt idx="27">
                  <c:v>277</c:v>
                </c:pt>
                <c:pt idx="28">
                  <c:v>277</c:v>
                </c:pt>
                <c:pt idx="29">
                  <c:v>277</c:v>
                </c:pt>
              </c:numCache>
            </c:numRef>
          </c:val>
          <c:smooth val="0"/>
          <c:extLst>
            <c:ext xmlns:c16="http://schemas.microsoft.com/office/drawing/2014/chart" uri="{C3380CC4-5D6E-409C-BE32-E72D297353CC}">
              <c16:uniqueId val="{00000004-C019-4FE0-A0D5-BEF981B09B27}"/>
            </c:ext>
          </c:extLst>
        </c:ser>
        <c:ser>
          <c:idx val="1"/>
          <c:order val="3"/>
          <c:tx>
            <c:strRef>
              <c:f>'Example_Weekly Report'!$B$47</c:f>
              <c:strCache>
                <c:ptCount val="1"/>
                <c:pt idx="0">
                  <c:v>Inc Fixed (accum.)</c:v>
                </c:pt>
              </c:strCache>
            </c:strRef>
          </c:tx>
          <c:spPr>
            <a:ln w="12700">
              <a:solidFill>
                <a:srgbClr val="000000"/>
              </a:solidFill>
              <a:prstDash val="solid"/>
            </a:ln>
          </c:spPr>
          <c:marker>
            <c:symbol val="square"/>
            <c:size val="5"/>
            <c:spPr>
              <a:solidFill>
                <a:srgbClr val="000000"/>
              </a:solidFill>
              <a:ln>
                <a:solidFill>
                  <a:srgbClr val="000000"/>
                </a:solidFill>
                <a:prstDash val="solid"/>
              </a:ln>
            </c:spPr>
          </c:marker>
          <c:val>
            <c:numRef>
              <c:f>'Example_Weekly Report'!$C$47:$AF$47</c:f>
              <c:numCache>
                <c:formatCode>General</c:formatCode>
                <c:ptCount val="30"/>
                <c:pt idx="0">
                  <c:v>0</c:v>
                </c:pt>
                <c:pt idx="1">
                  <c:v>0</c:v>
                </c:pt>
                <c:pt idx="2">
                  <c:v>0</c:v>
                </c:pt>
                <c:pt idx="3">
                  <c:v>0</c:v>
                </c:pt>
                <c:pt idx="4">
                  <c:v>0</c:v>
                </c:pt>
                <c:pt idx="5">
                  <c:v>0</c:v>
                </c:pt>
                <c:pt idx="6">
                  <c:v>0</c:v>
                </c:pt>
                <c:pt idx="7">
                  <c:v>1</c:v>
                </c:pt>
                <c:pt idx="8">
                  <c:v>9</c:v>
                </c:pt>
                <c:pt idx="9">
                  <c:v>19</c:v>
                </c:pt>
                <c:pt idx="10">
                  <c:v>45</c:v>
                </c:pt>
                <c:pt idx="11">
                  <c:v>68</c:v>
                </c:pt>
                <c:pt idx="12">
                  <c:v>76</c:v>
                </c:pt>
                <c:pt idx="13">
                  <c:v>147</c:v>
                </c:pt>
                <c:pt idx="14">
                  <c:v>176</c:v>
                </c:pt>
                <c:pt idx="15">
                  <c:v>222</c:v>
                </c:pt>
                <c:pt idx="16">
                  <c:v>261</c:v>
                </c:pt>
                <c:pt idx="17">
                  <c:v>261</c:v>
                </c:pt>
                <c:pt idx="18">
                  <c:v>261</c:v>
                </c:pt>
                <c:pt idx="19">
                  <c:v>261</c:v>
                </c:pt>
                <c:pt idx="20">
                  <c:v>261</c:v>
                </c:pt>
                <c:pt idx="21">
                  <c:v>261</c:v>
                </c:pt>
                <c:pt idx="22">
                  <c:v>261</c:v>
                </c:pt>
                <c:pt idx="23">
                  <c:v>261</c:v>
                </c:pt>
                <c:pt idx="24">
                  <c:v>261</c:v>
                </c:pt>
                <c:pt idx="25">
                  <c:v>261</c:v>
                </c:pt>
                <c:pt idx="26">
                  <c:v>261</c:v>
                </c:pt>
                <c:pt idx="27">
                  <c:v>261</c:v>
                </c:pt>
                <c:pt idx="28">
                  <c:v>261</c:v>
                </c:pt>
                <c:pt idx="29">
                  <c:v>261</c:v>
                </c:pt>
              </c:numCache>
            </c:numRef>
          </c:val>
          <c:smooth val="0"/>
          <c:extLst>
            <c:ext xmlns:c16="http://schemas.microsoft.com/office/drawing/2014/chart" uri="{C3380CC4-5D6E-409C-BE32-E72D297353CC}">
              <c16:uniqueId val="{00000005-C019-4FE0-A0D5-BEF981B09B27}"/>
            </c:ext>
          </c:extLst>
        </c:ser>
        <c:dLbls>
          <c:showLegendKey val="0"/>
          <c:showVal val="0"/>
          <c:showCatName val="0"/>
          <c:showSerName val="0"/>
          <c:showPercent val="0"/>
          <c:showBubbleSize val="0"/>
        </c:dLbls>
        <c:marker val="1"/>
        <c:smooth val="0"/>
        <c:axId val="87784448"/>
        <c:axId val="87802624"/>
      </c:lineChart>
      <c:catAx>
        <c:axId val="87776640"/>
        <c:scaling>
          <c:orientation val="minMax"/>
        </c:scaling>
        <c:delete val="0"/>
        <c:axPos val="b"/>
        <c:majorTickMark val="in"/>
        <c:minorTickMark val="none"/>
        <c:tickLblPos val="none"/>
        <c:spPr>
          <a:ln w="3175">
            <a:solidFill>
              <a:srgbClr val="000000"/>
            </a:solidFill>
            <a:prstDash val="solid"/>
          </a:ln>
        </c:spPr>
        <c:crossAx val="87782912"/>
        <c:crosses val="autoZero"/>
        <c:auto val="0"/>
        <c:lblAlgn val="ctr"/>
        <c:lblOffset val="100"/>
        <c:tickLblSkip val="10"/>
        <c:tickMarkSkip val="1"/>
        <c:noMultiLvlLbl val="0"/>
      </c:catAx>
      <c:valAx>
        <c:axId val="87782912"/>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776640"/>
        <c:crosses val="autoZero"/>
        <c:crossBetween val="between"/>
      </c:valAx>
      <c:catAx>
        <c:axId val="87784448"/>
        <c:scaling>
          <c:orientation val="minMax"/>
        </c:scaling>
        <c:delete val="1"/>
        <c:axPos val="b"/>
        <c:majorTickMark val="out"/>
        <c:minorTickMark val="none"/>
        <c:tickLblPos val="none"/>
        <c:crossAx val="87802624"/>
        <c:crosses val="autoZero"/>
        <c:auto val="0"/>
        <c:lblAlgn val="ctr"/>
        <c:lblOffset val="100"/>
        <c:noMultiLvlLbl val="0"/>
      </c:catAx>
      <c:valAx>
        <c:axId val="87802624"/>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784448"/>
        <c:crosses val="max"/>
        <c:crossBetween val="between"/>
      </c:valAx>
      <c:spPr>
        <a:solidFill>
          <a:srgbClr val="FFFFFF"/>
        </a:solidFill>
        <a:ln w="12700">
          <a:solidFill>
            <a:srgbClr val="FFFFFF"/>
          </a:solidFill>
          <a:prstDash val="solid"/>
        </a:ln>
      </c:spPr>
    </c:plotArea>
    <c:legend>
      <c:legendPos val="r"/>
      <c:layout>
        <c:manualLayout>
          <c:xMode val="edge"/>
          <c:yMode val="edge"/>
          <c:x val="0.81104199066874028"/>
          <c:y val="7.7519966690639319E-2"/>
          <c:w val="0.13141524105754276"/>
          <c:h val="0.75194367689920139"/>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1"/>
          <c:order val="0"/>
          <c:spPr>
            <a:solidFill>
              <a:srgbClr val="FFFF99"/>
            </a:solidFill>
            <a:ln w="12700">
              <a:solidFill>
                <a:srgbClr val="000000"/>
              </a:solidFill>
              <a:prstDash val="solid"/>
            </a:ln>
          </c:spPr>
          <c:invertIfNegative val="0"/>
          <c:val>
            <c:numRef>
              <c:f>'Example_Weekly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0-64B8-4BB1-ADA2-6D2F25B4EFFE}"/>
            </c:ext>
          </c:extLst>
        </c:ser>
        <c:ser>
          <c:idx val="0"/>
          <c:order val="1"/>
          <c:spPr>
            <a:solidFill>
              <a:srgbClr val="C0C0C0"/>
            </a:solidFill>
            <a:ln w="12700">
              <a:solidFill>
                <a:srgbClr val="000000"/>
              </a:solidFill>
              <a:prstDash val="solid"/>
            </a:ln>
          </c:spPr>
          <c:invertIfNegative val="0"/>
          <c:val>
            <c:numRef>
              <c:f>'Example_Weekly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1-64B8-4BB1-ADA2-6D2F25B4EFFE}"/>
            </c:ext>
          </c:extLst>
        </c:ser>
        <c:ser>
          <c:idx val="3"/>
          <c:order val="4"/>
          <c:spPr>
            <a:solidFill>
              <a:srgbClr val="CCFFFF"/>
            </a:solidFill>
            <a:ln w="12700">
              <a:solidFill>
                <a:srgbClr val="000000"/>
              </a:solidFill>
              <a:prstDash val="solid"/>
            </a:ln>
          </c:spPr>
          <c:invertIfNegative val="0"/>
          <c:val>
            <c:numRef>
              <c:f>'Example_Weekly Report'!#REF!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2-64B8-4BB1-ADA2-6D2F25B4EFFE}"/>
            </c:ext>
          </c:extLst>
        </c:ser>
        <c:dLbls>
          <c:showLegendKey val="0"/>
          <c:showVal val="0"/>
          <c:showCatName val="0"/>
          <c:showSerName val="0"/>
          <c:showPercent val="0"/>
          <c:showBubbleSize val="0"/>
        </c:dLbls>
        <c:gapWidth val="150"/>
        <c:axId val="87827584"/>
        <c:axId val="87829504"/>
      </c:barChart>
      <c:lineChart>
        <c:grouping val="standard"/>
        <c:varyColors val="0"/>
        <c:ser>
          <c:idx val="5"/>
          <c:order val="2"/>
          <c:spPr>
            <a:ln w="12700">
              <a:solidFill>
                <a:srgbClr val="800000"/>
              </a:solidFill>
              <a:prstDash val="solid"/>
            </a:ln>
          </c:spPr>
          <c:marker>
            <c:symbol val="circle"/>
            <c:size val="5"/>
            <c:spPr>
              <a:solidFill>
                <a:srgbClr val="800000"/>
              </a:solidFill>
              <a:ln>
                <a:solidFill>
                  <a:srgbClr val="800000"/>
                </a:solidFill>
                <a:prstDash val="solid"/>
              </a:ln>
            </c:spPr>
          </c:marker>
          <c:val>
            <c:numRef>
              <c:f>'Example_Weekly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3-64B8-4BB1-ADA2-6D2F25B4EFFE}"/>
            </c:ext>
          </c:extLst>
        </c:ser>
        <c:ser>
          <c:idx val="2"/>
          <c:order val="3"/>
          <c:spPr>
            <a:ln w="12700">
              <a:solidFill>
                <a:srgbClr val="0000FF"/>
              </a:solidFill>
              <a:prstDash val="solid"/>
            </a:ln>
          </c:spPr>
          <c:marker>
            <c:symbol val="triangle"/>
            <c:size val="5"/>
            <c:spPr>
              <a:solidFill>
                <a:srgbClr val="0000FF"/>
              </a:solidFill>
              <a:ln>
                <a:solidFill>
                  <a:srgbClr val="0000FF"/>
                </a:solidFill>
                <a:prstDash val="solid"/>
              </a:ln>
            </c:spPr>
          </c:marker>
          <c:val>
            <c:numRef>
              <c:f>'Example_Weekly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4-64B8-4BB1-ADA2-6D2F25B4EFFE}"/>
            </c:ext>
          </c:extLst>
        </c:ser>
        <c:dLbls>
          <c:showLegendKey val="0"/>
          <c:showVal val="0"/>
          <c:showCatName val="0"/>
          <c:showSerName val="0"/>
          <c:showPercent val="0"/>
          <c:showBubbleSize val="0"/>
        </c:dLbls>
        <c:marker val="1"/>
        <c:smooth val="0"/>
        <c:axId val="87827584"/>
        <c:axId val="87829504"/>
      </c:lineChart>
      <c:lineChart>
        <c:grouping val="standard"/>
        <c:varyColors val="0"/>
        <c:ser>
          <c:idx val="4"/>
          <c:order val="5"/>
          <c:spPr>
            <a:ln w="12700">
              <a:solidFill>
                <a:srgbClr val="800080"/>
              </a:solidFill>
              <a:prstDash val="solid"/>
            </a:ln>
          </c:spPr>
          <c:marker>
            <c:symbol val="star"/>
            <c:size val="5"/>
            <c:spPr>
              <a:noFill/>
              <a:ln>
                <a:solidFill>
                  <a:srgbClr val="800080"/>
                </a:solidFill>
                <a:prstDash val="solid"/>
              </a:ln>
            </c:spPr>
          </c:marker>
          <c:val>
            <c:numRef>
              <c:f>'Example_Weekly Report'!#REF!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'Example_Weekly Report'!#REF!</c15:sqref>
                        </c15:formulaRef>
                      </c:ext>
                    </c:extLst>
                    <c:strCache>
                      <c:ptCount val="1"/>
                      <c:pt idx="0">
                        <c:v>#REF!</c:v>
                      </c:pt>
                    </c:strCache>
                  </c:strRef>
                </c15:tx>
              </c15:filteredSeriesTitle>
            </c:ext>
            <c:ext xmlns:c16="http://schemas.microsoft.com/office/drawing/2014/chart" uri="{C3380CC4-5D6E-409C-BE32-E72D297353CC}">
              <c16:uniqueId val="{00000005-64B8-4BB1-ADA2-6D2F25B4EFFE}"/>
            </c:ext>
          </c:extLst>
        </c:ser>
        <c:dLbls>
          <c:showLegendKey val="0"/>
          <c:showVal val="0"/>
          <c:showCatName val="0"/>
          <c:showSerName val="0"/>
          <c:showPercent val="0"/>
          <c:showBubbleSize val="0"/>
        </c:dLbls>
        <c:marker val="1"/>
        <c:smooth val="0"/>
        <c:axId val="87847680"/>
        <c:axId val="87849216"/>
      </c:lineChart>
      <c:catAx>
        <c:axId val="87827584"/>
        <c:scaling>
          <c:orientation val="minMax"/>
        </c:scaling>
        <c:delete val="0"/>
        <c:axPos val="b"/>
        <c:majorTickMark val="in"/>
        <c:minorTickMark val="none"/>
        <c:tickLblPos val="none"/>
        <c:spPr>
          <a:ln w="3175">
            <a:solidFill>
              <a:srgbClr val="000000"/>
            </a:solidFill>
            <a:prstDash val="solid"/>
          </a:ln>
        </c:spPr>
        <c:crossAx val="87829504"/>
        <c:crosses val="autoZero"/>
        <c:auto val="0"/>
        <c:lblAlgn val="ctr"/>
        <c:lblOffset val="100"/>
        <c:tickMarkSkip val="1"/>
        <c:noMultiLvlLbl val="0"/>
      </c:catAx>
      <c:valAx>
        <c:axId val="87829504"/>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ゴシック"/>
                <a:ea typeface="ＭＳ Ｐゴシック"/>
                <a:cs typeface="ＭＳ Ｐゴシック"/>
              </a:defRPr>
            </a:pPr>
            <a:endParaRPr lang="en-US"/>
          </a:p>
        </c:txPr>
        <c:crossAx val="87827584"/>
        <c:crosses val="autoZero"/>
        <c:crossBetween val="between"/>
      </c:valAx>
      <c:catAx>
        <c:axId val="87847680"/>
        <c:scaling>
          <c:orientation val="minMax"/>
        </c:scaling>
        <c:delete val="1"/>
        <c:axPos val="b"/>
        <c:majorTickMark val="out"/>
        <c:minorTickMark val="none"/>
        <c:tickLblPos val="none"/>
        <c:crossAx val="87849216"/>
        <c:crosses val="autoZero"/>
        <c:auto val="0"/>
        <c:lblAlgn val="ctr"/>
        <c:lblOffset val="100"/>
        <c:noMultiLvlLbl val="0"/>
      </c:catAx>
      <c:valAx>
        <c:axId val="87849216"/>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ゴシック"/>
                <a:ea typeface="ＭＳ Ｐゴシック"/>
                <a:cs typeface="ＭＳ Ｐゴシック"/>
              </a:defRPr>
            </a:pPr>
            <a:endParaRPr lang="en-US"/>
          </a:p>
        </c:txPr>
        <c:crossAx val="87847680"/>
        <c:crosses val="max"/>
        <c:crossBetween val="between"/>
      </c:valAx>
      <c:spPr>
        <a:no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ＭＳ Ｐゴシック"/>
              <a:ea typeface="ＭＳ Ｐゴシック"/>
              <a:cs typeface="ＭＳ Ｐゴシック"/>
            </a:defRPr>
          </a:pPr>
          <a:endParaRPr lang="en-US"/>
        </a:p>
      </c:txPr>
    </c:legend>
    <c:plotVisOnly val="1"/>
    <c:dispBlanksAs val="gap"/>
    <c:showDLblsOverMax val="0"/>
  </c:chart>
  <c:spPr>
    <a:solidFill>
      <a:srgbClr val="FFFFFF"/>
    </a:solidFill>
    <a:ln w="9525">
      <a:noFill/>
    </a:ln>
  </c:spPr>
  <c:txPr>
    <a:bodyPr/>
    <a:lstStyle/>
    <a:p>
      <a:pPr>
        <a:defRPr sz="1100" b="0" i="0" u="none" strike="noStrike" baseline="0">
          <a:solidFill>
            <a:srgbClr val="000000"/>
          </a:solidFill>
          <a:latin typeface="ＭＳ Ｐゴシック"/>
          <a:ea typeface="ＭＳ Ｐゴシック"/>
          <a:cs typeface="ＭＳ Ｐゴシック"/>
        </a:defRPr>
      </a:pPr>
      <a:endParaRPr lang="en-US"/>
    </a:p>
  </c:txPr>
  <c:printSettings>
    <c:headerFooter alignWithMargins="0">
      <c:oddHeader>&amp;A</c:oddHeader>
      <c:oddFooter>Page &amp;P</c:oddFooter>
    </c:headerFooter>
    <c:pageMargins b="1" l="0.75" r="0.75" t="1" header="0.5" footer="0.5"/>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B78C-422F-AC89-E0376925D652}"/>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B78C-422F-AC89-E0376925D652}"/>
            </c:ext>
          </c:extLst>
        </c:ser>
        <c:dLbls>
          <c:showLegendKey val="0"/>
          <c:showVal val="0"/>
          <c:showCatName val="0"/>
          <c:showSerName val="0"/>
          <c:showPercent val="0"/>
          <c:showBubbleSize val="0"/>
        </c:dLbls>
        <c:gapWidth val="150"/>
        <c:axId val="87954176"/>
        <c:axId val="87956096"/>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2-B78C-422F-AC89-E0376925D652}"/>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3-B78C-422F-AC89-E0376925D652}"/>
            </c:ext>
          </c:extLst>
        </c:ser>
        <c:dLbls>
          <c:showLegendKey val="0"/>
          <c:showVal val="0"/>
          <c:showCatName val="0"/>
          <c:showSerName val="0"/>
          <c:showPercent val="0"/>
          <c:showBubbleSize val="0"/>
        </c:dLbls>
        <c:marker val="1"/>
        <c:smooth val="0"/>
        <c:axId val="87966080"/>
        <c:axId val="87967616"/>
      </c:lineChart>
      <c:catAx>
        <c:axId val="87954176"/>
        <c:scaling>
          <c:orientation val="minMax"/>
        </c:scaling>
        <c:delete val="0"/>
        <c:axPos val="b"/>
        <c:majorTickMark val="in"/>
        <c:minorTickMark val="none"/>
        <c:tickLblPos val="none"/>
        <c:spPr>
          <a:ln w="3175">
            <a:solidFill>
              <a:srgbClr val="000000"/>
            </a:solidFill>
            <a:prstDash val="solid"/>
          </a:ln>
        </c:spPr>
        <c:crossAx val="87956096"/>
        <c:crosses val="autoZero"/>
        <c:auto val="0"/>
        <c:lblAlgn val="ctr"/>
        <c:lblOffset val="100"/>
        <c:tickMarkSkip val="1"/>
        <c:noMultiLvlLbl val="0"/>
      </c:catAx>
      <c:valAx>
        <c:axId val="87956096"/>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954176"/>
        <c:crosses val="autoZero"/>
        <c:crossBetween val="between"/>
        <c:majorUnit val="500"/>
      </c:valAx>
      <c:catAx>
        <c:axId val="87966080"/>
        <c:scaling>
          <c:orientation val="minMax"/>
        </c:scaling>
        <c:delete val="1"/>
        <c:axPos val="b"/>
        <c:majorTickMark val="out"/>
        <c:minorTickMark val="none"/>
        <c:tickLblPos val="none"/>
        <c:crossAx val="87967616"/>
        <c:crosses val="autoZero"/>
        <c:auto val="0"/>
        <c:lblAlgn val="ctr"/>
        <c:lblOffset val="100"/>
        <c:noMultiLvlLbl val="0"/>
      </c:catAx>
      <c:valAx>
        <c:axId val="87967616"/>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7966080"/>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B00C-4DFB-A951-FE87F31C34A4}"/>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B00C-4DFB-A951-FE87F31C34A4}"/>
            </c:ext>
          </c:extLst>
        </c:ser>
        <c:dLbls>
          <c:showLegendKey val="0"/>
          <c:showVal val="0"/>
          <c:showCatName val="0"/>
          <c:showSerName val="0"/>
          <c:showPercent val="0"/>
          <c:showBubbleSize val="0"/>
        </c:dLbls>
        <c:gapWidth val="150"/>
        <c:axId val="88277376"/>
        <c:axId val="88279296"/>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2-B00C-4DFB-A951-FE87F31C34A4}"/>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3-B00C-4DFB-A951-FE87F31C34A4}"/>
            </c:ext>
          </c:extLst>
        </c:ser>
        <c:dLbls>
          <c:showLegendKey val="0"/>
          <c:showVal val="0"/>
          <c:showCatName val="0"/>
          <c:showSerName val="0"/>
          <c:showPercent val="0"/>
          <c:showBubbleSize val="0"/>
        </c:dLbls>
        <c:marker val="1"/>
        <c:smooth val="0"/>
        <c:axId val="88281088"/>
        <c:axId val="88282624"/>
      </c:lineChart>
      <c:catAx>
        <c:axId val="88277376"/>
        <c:scaling>
          <c:orientation val="minMax"/>
        </c:scaling>
        <c:delete val="0"/>
        <c:axPos val="b"/>
        <c:majorTickMark val="in"/>
        <c:minorTickMark val="none"/>
        <c:tickLblPos val="none"/>
        <c:spPr>
          <a:ln w="3175">
            <a:solidFill>
              <a:srgbClr val="000000"/>
            </a:solidFill>
            <a:prstDash val="solid"/>
          </a:ln>
        </c:spPr>
        <c:crossAx val="88279296"/>
        <c:crosses val="autoZero"/>
        <c:auto val="0"/>
        <c:lblAlgn val="ctr"/>
        <c:lblOffset val="100"/>
        <c:tickMarkSkip val="1"/>
        <c:noMultiLvlLbl val="0"/>
      </c:catAx>
      <c:valAx>
        <c:axId val="88279296"/>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8277376"/>
        <c:crosses val="autoZero"/>
        <c:crossBetween val="between"/>
        <c:majorUnit val="25"/>
      </c:valAx>
      <c:catAx>
        <c:axId val="88281088"/>
        <c:scaling>
          <c:orientation val="minMax"/>
        </c:scaling>
        <c:delete val="1"/>
        <c:axPos val="b"/>
        <c:majorTickMark val="out"/>
        <c:minorTickMark val="none"/>
        <c:tickLblPos val="none"/>
        <c:crossAx val="88282624"/>
        <c:crosses val="autoZero"/>
        <c:auto val="0"/>
        <c:lblAlgn val="ctr"/>
        <c:lblOffset val="100"/>
        <c:noMultiLvlLbl val="0"/>
      </c:catAx>
      <c:valAx>
        <c:axId val="88282624"/>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88281088"/>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oddHeader>&amp;A</c:oddHeader>
      <c:oddFooter>- &amp;P -</c:oddFooter>
    </c:headerFooter>
    <c:pageMargins b="1" l="0.75" r="0.75" t="1" header="0.51200000000000001" footer="0.51200000000000001"/>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E72-4254-9FE7-38F49F2B82C3}"/>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E72-4254-9FE7-38F49F2B82C3}"/>
            </c:ext>
          </c:extLst>
        </c:ser>
        <c:dLbls>
          <c:showLegendKey val="0"/>
          <c:showVal val="0"/>
          <c:showCatName val="0"/>
          <c:showSerName val="0"/>
          <c:showPercent val="0"/>
          <c:showBubbleSize val="0"/>
        </c:dLbls>
        <c:gapWidth val="150"/>
        <c:axId val="90439680"/>
        <c:axId val="90441600"/>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2-AE72-4254-9FE7-38F49F2B82C3}"/>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3-AE72-4254-9FE7-38F49F2B82C3}"/>
            </c:ext>
          </c:extLst>
        </c:ser>
        <c:dLbls>
          <c:showLegendKey val="0"/>
          <c:showVal val="0"/>
          <c:showCatName val="0"/>
          <c:showSerName val="0"/>
          <c:showPercent val="0"/>
          <c:showBubbleSize val="0"/>
        </c:dLbls>
        <c:marker val="1"/>
        <c:smooth val="0"/>
        <c:axId val="90443136"/>
        <c:axId val="90449024"/>
      </c:lineChart>
      <c:catAx>
        <c:axId val="90439680"/>
        <c:scaling>
          <c:orientation val="minMax"/>
        </c:scaling>
        <c:delete val="0"/>
        <c:axPos val="b"/>
        <c:majorTickMark val="in"/>
        <c:minorTickMark val="none"/>
        <c:tickLblPos val="none"/>
        <c:spPr>
          <a:ln w="3175">
            <a:solidFill>
              <a:srgbClr val="000000"/>
            </a:solidFill>
            <a:prstDash val="solid"/>
          </a:ln>
        </c:spPr>
        <c:crossAx val="90441600"/>
        <c:crosses val="autoZero"/>
        <c:auto val="0"/>
        <c:lblAlgn val="ctr"/>
        <c:lblOffset val="100"/>
        <c:tickLblSkip val="10"/>
        <c:tickMarkSkip val="1"/>
        <c:noMultiLvlLbl val="0"/>
      </c:catAx>
      <c:valAx>
        <c:axId val="90441600"/>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0439680"/>
        <c:crosses val="autoZero"/>
        <c:crossBetween val="between"/>
      </c:valAx>
      <c:catAx>
        <c:axId val="90443136"/>
        <c:scaling>
          <c:orientation val="minMax"/>
        </c:scaling>
        <c:delete val="1"/>
        <c:axPos val="b"/>
        <c:majorTickMark val="out"/>
        <c:minorTickMark val="none"/>
        <c:tickLblPos val="none"/>
        <c:crossAx val="90449024"/>
        <c:crosses val="autoZero"/>
        <c:auto val="0"/>
        <c:lblAlgn val="ctr"/>
        <c:lblOffset val="100"/>
        <c:noMultiLvlLbl val="0"/>
      </c:catAx>
      <c:valAx>
        <c:axId val="90449024"/>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0443136"/>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EE2B-4F69-B3C1-6932BE74EA7B}"/>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EE2B-4F69-B3C1-6932BE74EA7B}"/>
            </c:ext>
          </c:extLst>
        </c:ser>
        <c:dLbls>
          <c:showLegendKey val="0"/>
          <c:showVal val="0"/>
          <c:showCatName val="0"/>
          <c:showSerName val="0"/>
          <c:showPercent val="0"/>
          <c:showBubbleSize val="0"/>
        </c:dLbls>
        <c:gapWidth val="150"/>
        <c:axId val="90467712"/>
        <c:axId val="90498560"/>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2-EE2B-4F69-B3C1-6932BE74EA7B}"/>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3-EE2B-4F69-B3C1-6932BE74EA7B}"/>
            </c:ext>
          </c:extLst>
        </c:ser>
        <c:dLbls>
          <c:showLegendKey val="0"/>
          <c:showVal val="0"/>
          <c:showCatName val="0"/>
          <c:showSerName val="0"/>
          <c:showPercent val="0"/>
          <c:showBubbleSize val="0"/>
        </c:dLbls>
        <c:marker val="1"/>
        <c:smooth val="0"/>
        <c:axId val="90500096"/>
        <c:axId val="90510080"/>
      </c:lineChart>
      <c:catAx>
        <c:axId val="90467712"/>
        <c:scaling>
          <c:orientation val="minMax"/>
        </c:scaling>
        <c:delete val="0"/>
        <c:axPos val="b"/>
        <c:majorTickMark val="in"/>
        <c:minorTickMark val="none"/>
        <c:tickLblPos val="none"/>
        <c:spPr>
          <a:ln w="3175">
            <a:solidFill>
              <a:srgbClr val="000000"/>
            </a:solidFill>
            <a:prstDash val="solid"/>
          </a:ln>
        </c:spPr>
        <c:crossAx val="90498560"/>
        <c:crosses val="autoZero"/>
        <c:auto val="0"/>
        <c:lblAlgn val="ctr"/>
        <c:lblOffset val="100"/>
        <c:tickMarkSkip val="1"/>
        <c:noMultiLvlLbl val="0"/>
      </c:catAx>
      <c:valAx>
        <c:axId val="90498560"/>
        <c:scaling>
          <c:orientation val="minMax"/>
          <c:max val="15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0467712"/>
        <c:crosses val="autoZero"/>
        <c:crossBetween val="between"/>
        <c:majorUnit val="500"/>
      </c:valAx>
      <c:catAx>
        <c:axId val="90500096"/>
        <c:scaling>
          <c:orientation val="minMax"/>
        </c:scaling>
        <c:delete val="1"/>
        <c:axPos val="b"/>
        <c:majorTickMark val="out"/>
        <c:minorTickMark val="none"/>
        <c:tickLblPos val="none"/>
        <c:crossAx val="90510080"/>
        <c:crosses val="autoZero"/>
        <c:auto val="0"/>
        <c:lblAlgn val="ctr"/>
        <c:lblOffset val="100"/>
        <c:noMultiLvlLbl val="0"/>
      </c:catAx>
      <c:valAx>
        <c:axId val="90510080"/>
        <c:scaling>
          <c:orientation val="minMax"/>
          <c:max val="15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0500096"/>
        <c:crosses val="max"/>
        <c:crossBetween val="between"/>
        <c:majorUnit val="5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6B8-428D-9F22-842785C0987F}"/>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6B8-428D-9F22-842785C0987F}"/>
            </c:ext>
          </c:extLst>
        </c:ser>
        <c:dLbls>
          <c:showLegendKey val="0"/>
          <c:showVal val="0"/>
          <c:showCatName val="0"/>
          <c:showSerName val="0"/>
          <c:showPercent val="0"/>
          <c:showBubbleSize val="0"/>
        </c:dLbls>
        <c:gapWidth val="150"/>
        <c:axId val="90549248"/>
        <c:axId val="90567808"/>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2-A6B8-428D-9F22-842785C0987F}"/>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3-A6B8-428D-9F22-842785C0987F}"/>
            </c:ext>
          </c:extLst>
        </c:ser>
        <c:dLbls>
          <c:showLegendKey val="0"/>
          <c:showVal val="0"/>
          <c:showCatName val="0"/>
          <c:showSerName val="0"/>
          <c:showPercent val="0"/>
          <c:showBubbleSize val="0"/>
        </c:dLbls>
        <c:marker val="1"/>
        <c:smooth val="0"/>
        <c:axId val="90569344"/>
        <c:axId val="91689344"/>
      </c:lineChart>
      <c:catAx>
        <c:axId val="90549248"/>
        <c:scaling>
          <c:orientation val="minMax"/>
        </c:scaling>
        <c:delete val="0"/>
        <c:axPos val="b"/>
        <c:majorTickMark val="in"/>
        <c:minorTickMark val="none"/>
        <c:tickLblPos val="none"/>
        <c:spPr>
          <a:ln w="3175">
            <a:solidFill>
              <a:srgbClr val="000000"/>
            </a:solidFill>
            <a:prstDash val="solid"/>
          </a:ln>
        </c:spPr>
        <c:crossAx val="90567808"/>
        <c:crosses val="autoZero"/>
        <c:auto val="0"/>
        <c:lblAlgn val="ctr"/>
        <c:lblOffset val="100"/>
        <c:tickMarkSkip val="1"/>
        <c:noMultiLvlLbl val="0"/>
      </c:catAx>
      <c:valAx>
        <c:axId val="90567808"/>
        <c:scaling>
          <c:orientation val="minMax"/>
          <c:max val="100"/>
          <c:min val="0"/>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0549248"/>
        <c:crosses val="autoZero"/>
        <c:crossBetween val="between"/>
        <c:majorUnit val="25"/>
      </c:valAx>
      <c:catAx>
        <c:axId val="90569344"/>
        <c:scaling>
          <c:orientation val="minMax"/>
        </c:scaling>
        <c:delete val="1"/>
        <c:axPos val="b"/>
        <c:majorTickMark val="out"/>
        <c:minorTickMark val="none"/>
        <c:tickLblPos val="none"/>
        <c:crossAx val="91689344"/>
        <c:crosses val="autoZero"/>
        <c:auto val="0"/>
        <c:lblAlgn val="ctr"/>
        <c:lblOffset val="100"/>
        <c:noMultiLvlLbl val="0"/>
      </c:catAx>
      <c:valAx>
        <c:axId val="91689344"/>
        <c:scaling>
          <c:orientation val="minMax"/>
          <c:max val="300"/>
          <c:min val="0"/>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0569344"/>
        <c:crosses val="max"/>
        <c:crossBetween val="between"/>
        <c:majorUnit val="100"/>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2"/>
          <c:order val="0"/>
          <c:tx>
            <c:v>#REF!</c:v>
          </c:tx>
          <c:spPr>
            <a:solidFill>
              <a:srgbClr val="FFFF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D3B-4925-B959-A4100C0DB33A}"/>
            </c:ext>
          </c:extLst>
        </c:ser>
        <c:ser>
          <c:idx val="3"/>
          <c:order val="1"/>
          <c:tx>
            <c:v>#REF!</c:v>
          </c:tx>
          <c:spPr>
            <a:pattFill prst="pct50">
              <a:fgClr>
                <a:srgbClr val="FFFFFF"/>
              </a:fgClr>
              <a:bgClr>
                <a:srgbClr val="000000"/>
              </a:bgClr>
            </a:patt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D3B-4925-B959-A4100C0DB33A}"/>
            </c:ext>
          </c:extLst>
        </c:ser>
        <c:dLbls>
          <c:showLegendKey val="0"/>
          <c:showVal val="0"/>
          <c:showCatName val="0"/>
          <c:showSerName val="0"/>
          <c:showPercent val="0"/>
          <c:showBubbleSize val="0"/>
        </c:dLbls>
        <c:gapWidth val="150"/>
        <c:axId val="91736704"/>
        <c:axId val="92545792"/>
      </c:barChart>
      <c:lineChart>
        <c:grouping val="standard"/>
        <c:varyColors val="0"/>
        <c:ser>
          <c:idx val="0"/>
          <c:order val="2"/>
          <c:tx>
            <c:v>#REF!</c:v>
          </c:tx>
          <c:spPr>
            <a:ln w="12700">
              <a:solidFill>
                <a:srgbClr val="000000"/>
              </a:solidFill>
              <a:prstDash val="sysDash"/>
            </a:ln>
          </c:spPr>
          <c:marker>
            <c:symbol val="diamond"/>
            <c:size val="5"/>
            <c:spPr>
              <a:solidFill>
                <a:srgbClr val="FFFFFF"/>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2-0D3B-4925-B959-A4100C0DB33A}"/>
            </c:ext>
          </c:extLst>
        </c:ser>
        <c:ser>
          <c:idx val="1"/>
          <c:order val="3"/>
          <c:tx>
            <c:v>#REF!</c:v>
          </c:tx>
          <c:spPr>
            <a:ln w="12700">
              <a:solidFill>
                <a:srgbClr val="000000"/>
              </a:solidFill>
              <a:prstDash val="solid"/>
            </a:ln>
          </c:spPr>
          <c:marker>
            <c:symbol val="square"/>
            <c:size val="5"/>
            <c:spPr>
              <a:solidFill>
                <a:srgbClr val="000000"/>
              </a:solidFill>
              <a:ln>
                <a:solidFill>
                  <a:srgbClr val="000000"/>
                </a:solidFill>
                <a:prstDash val="solid"/>
              </a:ln>
            </c:spPr>
          </c:marker>
          <c:val>
            <c:numLit>
              <c:formatCode>General</c:formatCode>
              <c:ptCount val="1"/>
              <c:pt idx="0">
                <c:v>0</c:v>
              </c:pt>
            </c:numLit>
          </c:val>
          <c:smooth val="0"/>
          <c:extLst>
            <c:ext xmlns:c16="http://schemas.microsoft.com/office/drawing/2014/chart" uri="{C3380CC4-5D6E-409C-BE32-E72D297353CC}">
              <c16:uniqueId val="{00000003-0D3B-4925-B959-A4100C0DB33A}"/>
            </c:ext>
          </c:extLst>
        </c:ser>
        <c:dLbls>
          <c:showLegendKey val="0"/>
          <c:showVal val="0"/>
          <c:showCatName val="0"/>
          <c:showSerName val="0"/>
          <c:showPercent val="0"/>
          <c:showBubbleSize val="0"/>
        </c:dLbls>
        <c:marker val="1"/>
        <c:smooth val="0"/>
        <c:axId val="92547328"/>
        <c:axId val="92557312"/>
      </c:lineChart>
      <c:catAx>
        <c:axId val="91736704"/>
        <c:scaling>
          <c:orientation val="minMax"/>
        </c:scaling>
        <c:delete val="0"/>
        <c:axPos val="b"/>
        <c:majorTickMark val="in"/>
        <c:minorTickMark val="none"/>
        <c:tickLblPos val="none"/>
        <c:spPr>
          <a:ln w="3175">
            <a:solidFill>
              <a:srgbClr val="000000"/>
            </a:solidFill>
            <a:prstDash val="solid"/>
          </a:ln>
        </c:spPr>
        <c:crossAx val="92545792"/>
        <c:crosses val="autoZero"/>
        <c:auto val="0"/>
        <c:lblAlgn val="ctr"/>
        <c:lblOffset val="100"/>
        <c:tickLblSkip val="10"/>
        <c:tickMarkSkip val="1"/>
        <c:noMultiLvlLbl val="0"/>
      </c:catAx>
      <c:valAx>
        <c:axId val="92545792"/>
        <c:scaling>
          <c:orientation val="minMax"/>
        </c:scaling>
        <c:delete val="0"/>
        <c:axPos val="l"/>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1736704"/>
        <c:crosses val="autoZero"/>
        <c:crossBetween val="between"/>
      </c:valAx>
      <c:catAx>
        <c:axId val="92547328"/>
        <c:scaling>
          <c:orientation val="minMax"/>
        </c:scaling>
        <c:delete val="1"/>
        <c:axPos val="b"/>
        <c:majorTickMark val="out"/>
        <c:minorTickMark val="none"/>
        <c:tickLblPos val="none"/>
        <c:crossAx val="92557312"/>
        <c:crosses val="autoZero"/>
        <c:auto val="0"/>
        <c:lblAlgn val="ctr"/>
        <c:lblOffset val="100"/>
        <c:noMultiLvlLbl val="0"/>
      </c:catAx>
      <c:valAx>
        <c:axId val="92557312"/>
        <c:scaling>
          <c:orientation val="minMax"/>
        </c:scaling>
        <c:delete val="0"/>
        <c:axPos val="r"/>
        <c:numFmt formatCode="General" sourceLinked="1"/>
        <c:majorTickMark val="cross"/>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ＭＳ Ｐ明朝"/>
                <a:ea typeface="ＭＳ Ｐ明朝"/>
                <a:cs typeface="ＭＳ Ｐ明朝"/>
              </a:defRPr>
            </a:pPr>
            <a:endParaRPr lang="en-US"/>
          </a:p>
        </c:txPr>
        <c:crossAx val="92547328"/>
        <c:crosses val="max"/>
        <c:crossBetween val="between"/>
      </c:valAx>
      <c:spPr>
        <a:solidFill>
          <a:srgbClr val="FFFFFF"/>
        </a:solidFill>
        <a:ln w="12700">
          <a:solidFill>
            <a:srgbClr val="FFFFFF"/>
          </a:solidFill>
          <a:prstDash val="solid"/>
        </a:ln>
      </c:spPr>
    </c:plotArea>
    <c:legend>
      <c:legendPos val="r"/>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ＭＳ Ｐ明朝"/>
              <a:ea typeface="ＭＳ Ｐ明朝"/>
              <a:cs typeface="ＭＳ Ｐ明朝"/>
            </a:defRPr>
          </a:pPr>
          <a:endParaRPr lang="en-US"/>
        </a:p>
      </c:txPr>
    </c:legend>
    <c:plotVisOnly val="1"/>
    <c:dispBlanksAs val="gap"/>
    <c:showDLblsOverMax val="0"/>
  </c:chart>
  <c:spPr>
    <a:noFill/>
    <a:ln w="9525">
      <a:noFill/>
    </a:ln>
  </c:spPr>
  <c:txPr>
    <a:bodyPr/>
    <a:lstStyle/>
    <a:p>
      <a:pPr>
        <a:defRPr sz="1100" b="0" i="0" u="none" strike="noStrike" baseline="0">
          <a:solidFill>
            <a:srgbClr val="000000"/>
          </a:solidFill>
          <a:latin typeface="ＭＳ Ｐ明朝"/>
          <a:ea typeface="ＭＳ Ｐ明朝"/>
          <a:cs typeface="ＭＳ Ｐ明朝"/>
        </a:defRPr>
      </a:pPr>
      <a:endParaRPr lang="en-US"/>
    </a:p>
  </c:txPr>
  <c:printSettings>
    <c:headerFooter alignWithMargins="0"/>
    <c:pageMargins b="1" l="0.75" r="0.75" t="1" header="0.51200000000000001" footer="0.51200000000000001"/>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75" b="1" i="0" u="none" strike="noStrike" baseline="0">
                <a:solidFill>
                  <a:srgbClr val="000000"/>
                </a:solidFill>
                <a:latin typeface="ＭＳ Ｐゴシック"/>
                <a:ea typeface="ＭＳ Ｐゴシック"/>
                <a:cs typeface="ＭＳ Ｐゴシック"/>
              </a:defRPr>
            </a:pPr>
            <a:r>
              <a:rPr lang="en-US"/>
              <a:t>PB Curve</a:t>
            </a:r>
          </a:p>
        </c:rich>
      </c:tx>
      <c:layout>
        <c:manualLayout>
          <c:xMode val="edge"/>
          <c:yMode val="edge"/>
          <c:x val="0.45543823442745501"/>
          <c:y val="2.7419354838709678E-2"/>
        </c:manualLayout>
      </c:layout>
      <c:overlay val="0"/>
      <c:spPr>
        <a:noFill/>
        <a:ln w="25400">
          <a:noFill/>
        </a:ln>
      </c:spPr>
    </c:title>
    <c:autoTitleDeleted val="0"/>
    <c:plotArea>
      <c:layout>
        <c:manualLayout>
          <c:layoutTarget val="inner"/>
          <c:xMode val="edge"/>
          <c:yMode val="edge"/>
          <c:x val="8.6858038074887761E-2"/>
          <c:y val="0.12096774193548387"/>
          <c:w val="0.83308187823131485"/>
          <c:h val="0.6758064516129032"/>
        </c:manualLayout>
      </c:layout>
      <c:lineChart>
        <c:grouping val="standard"/>
        <c:varyColors val="0"/>
        <c:ser>
          <c:idx val="2"/>
          <c:order val="0"/>
          <c:tx>
            <c:strRef>
              <c:f>'Example_PB Curve'!$B$42</c:f>
              <c:strCache>
                <c:ptCount val="1"/>
                <c:pt idx="0">
                  <c:v>Remained Test Cases (plan)</c:v>
                </c:pt>
              </c:strCache>
            </c:strRef>
          </c:tx>
          <c:spPr>
            <a:ln w="12700">
              <a:solidFill>
                <a:srgbClr val="FFFF00"/>
              </a:solidFill>
              <a:prstDash val="solid"/>
            </a:ln>
          </c:spPr>
          <c:marker>
            <c:symbol val="triangle"/>
            <c:size val="5"/>
            <c:spPr>
              <a:solidFill>
                <a:srgbClr val="FFFF00"/>
              </a:solidFill>
              <a:ln>
                <a:solidFill>
                  <a:srgbClr val="FFFF00"/>
                </a:solidFill>
                <a:prstDash val="solid"/>
              </a:ln>
            </c:spPr>
          </c:marker>
          <c:cat>
            <c:numRef>
              <c:f>'Example_PB Curve'!$C$41:$AF$41</c:f>
              <c:numCache>
                <c:formatCode>m/d;@</c:formatCode>
                <c:ptCount val="30"/>
                <c:pt idx="0">
                  <c:v>38516</c:v>
                </c:pt>
                <c:pt idx="1">
                  <c:v>38523</c:v>
                </c:pt>
                <c:pt idx="2">
                  <c:v>38530</c:v>
                </c:pt>
                <c:pt idx="3">
                  <c:v>38537</c:v>
                </c:pt>
                <c:pt idx="4">
                  <c:v>38544</c:v>
                </c:pt>
                <c:pt idx="5">
                  <c:v>38551</c:v>
                </c:pt>
                <c:pt idx="6">
                  <c:v>38558</c:v>
                </c:pt>
                <c:pt idx="7">
                  <c:v>38565</c:v>
                </c:pt>
                <c:pt idx="8">
                  <c:v>38572</c:v>
                </c:pt>
                <c:pt idx="9">
                  <c:v>38579</c:v>
                </c:pt>
                <c:pt idx="10">
                  <c:v>38586</c:v>
                </c:pt>
                <c:pt idx="11">
                  <c:v>38593</c:v>
                </c:pt>
                <c:pt idx="12">
                  <c:v>38600</c:v>
                </c:pt>
                <c:pt idx="13">
                  <c:v>38607</c:v>
                </c:pt>
                <c:pt idx="14">
                  <c:v>38614</c:v>
                </c:pt>
                <c:pt idx="15">
                  <c:v>38621</c:v>
                </c:pt>
                <c:pt idx="16">
                  <c:v>38628</c:v>
                </c:pt>
                <c:pt idx="17">
                  <c:v>38635</c:v>
                </c:pt>
                <c:pt idx="18">
                  <c:v>38642</c:v>
                </c:pt>
                <c:pt idx="19">
                  <c:v>38649</c:v>
                </c:pt>
                <c:pt idx="20">
                  <c:v>38656</c:v>
                </c:pt>
                <c:pt idx="21">
                  <c:v>38663</c:v>
                </c:pt>
                <c:pt idx="22">
                  <c:v>38670</c:v>
                </c:pt>
                <c:pt idx="23">
                  <c:v>38677</c:v>
                </c:pt>
                <c:pt idx="24">
                  <c:v>38684</c:v>
                </c:pt>
                <c:pt idx="25">
                  <c:v>38691</c:v>
                </c:pt>
                <c:pt idx="26">
                  <c:v>38698</c:v>
                </c:pt>
                <c:pt idx="27">
                  <c:v>38705</c:v>
                </c:pt>
                <c:pt idx="28">
                  <c:v>38712</c:v>
                </c:pt>
                <c:pt idx="29">
                  <c:v>38719</c:v>
                </c:pt>
              </c:numCache>
            </c:numRef>
          </c:cat>
          <c:val>
            <c:numRef>
              <c:f>'Example_PB Curve'!$C$42:$AF$42</c:f>
              <c:numCache>
                <c:formatCode>General</c:formatCode>
                <c:ptCount val="30"/>
                <c:pt idx="0">
                  <c:v>1416</c:v>
                </c:pt>
                <c:pt idx="1">
                  <c:v>1416</c:v>
                </c:pt>
                <c:pt idx="2">
                  <c:v>1416</c:v>
                </c:pt>
                <c:pt idx="3">
                  <c:v>1416</c:v>
                </c:pt>
                <c:pt idx="4">
                  <c:v>1416</c:v>
                </c:pt>
                <c:pt idx="5">
                  <c:v>1416</c:v>
                </c:pt>
                <c:pt idx="6">
                  <c:v>1400</c:v>
                </c:pt>
                <c:pt idx="7">
                  <c:v>1375</c:v>
                </c:pt>
                <c:pt idx="8">
                  <c:v>1345</c:v>
                </c:pt>
                <c:pt idx="9">
                  <c:v>1215</c:v>
                </c:pt>
                <c:pt idx="10">
                  <c:v>1090</c:v>
                </c:pt>
                <c:pt idx="11">
                  <c:v>930</c:v>
                </c:pt>
                <c:pt idx="12">
                  <c:v>680</c:v>
                </c:pt>
                <c:pt idx="13">
                  <c:v>560</c:v>
                </c:pt>
                <c:pt idx="14">
                  <c:v>440</c:v>
                </c:pt>
                <c:pt idx="15">
                  <c:v>260</c:v>
                </c:pt>
                <c:pt idx="16">
                  <c:v>150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19D1-4218-8CA5-2864D3EC185E}"/>
            </c:ext>
          </c:extLst>
        </c:ser>
        <c:ser>
          <c:idx val="3"/>
          <c:order val="1"/>
          <c:tx>
            <c:strRef>
              <c:f>'Example_PB Curve'!$B$43</c:f>
              <c:strCache>
                <c:ptCount val="1"/>
                <c:pt idx="0">
                  <c:v>Remained Test Cases (result)</c:v>
                </c:pt>
              </c:strCache>
            </c:strRef>
          </c:tx>
          <c:spPr>
            <a:ln w="12700">
              <a:solidFill>
                <a:srgbClr val="00FFFF"/>
              </a:solidFill>
              <a:prstDash val="solid"/>
            </a:ln>
          </c:spPr>
          <c:marker>
            <c:symbol val="x"/>
            <c:size val="5"/>
            <c:spPr>
              <a:noFill/>
              <a:ln>
                <a:solidFill>
                  <a:srgbClr val="00FFFF"/>
                </a:solidFill>
                <a:prstDash val="solid"/>
              </a:ln>
            </c:spPr>
          </c:marker>
          <c:cat>
            <c:numRef>
              <c:f>'Example_PB Curve'!$C$41:$AF$41</c:f>
              <c:numCache>
                <c:formatCode>m/d;@</c:formatCode>
                <c:ptCount val="30"/>
                <c:pt idx="0">
                  <c:v>38516</c:v>
                </c:pt>
                <c:pt idx="1">
                  <c:v>38523</c:v>
                </c:pt>
                <c:pt idx="2">
                  <c:v>38530</c:v>
                </c:pt>
                <c:pt idx="3">
                  <c:v>38537</c:v>
                </c:pt>
                <c:pt idx="4">
                  <c:v>38544</c:v>
                </c:pt>
                <c:pt idx="5">
                  <c:v>38551</c:v>
                </c:pt>
                <c:pt idx="6">
                  <c:v>38558</c:v>
                </c:pt>
                <c:pt idx="7">
                  <c:v>38565</c:v>
                </c:pt>
                <c:pt idx="8">
                  <c:v>38572</c:v>
                </c:pt>
                <c:pt idx="9">
                  <c:v>38579</c:v>
                </c:pt>
                <c:pt idx="10">
                  <c:v>38586</c:v>
                </c:pt>
                <c:pt idx="11">
                  <c:v>38593</c:v>
                </c:pt>
                <c:pt idx="12">
                  <c:v>38600</c:v>
                </c:pt>
                <c:pt idx="13">
                  <c:v>38607</c:v>
                </c:pt>
                <c:pt idx="14">
                  <c:v>38614</c:v>
                </c:pt>
                <c:pt idx="15">
                  <c:v>38621</c:v>
                </c:pt>
                <c:pt idx="16">
                  <c:v>38628</c:v>
                </c:pt>
                <c:pt idx="17">
                  <c:v>38635</c:v>
                </c:pt>
                <c:pt idx="18">
                  <c:v>38642</c:v>
                </c:pt>
                <c:pt idx="19">
                  <c:v>38649</c:v>
                </c:pt>
                <c:pt idx="20">
                  <c:v>38656</c:v>
                </c:pt>
                <c:pt idx="21">
                  <c:v>38663</c:v>
                </c:pt>
                <c:pt idx="22">
                  <c:v>38670</c:v>
                </c:pt>
                <c:pt idx="23">
                  <c:v>38677</c:v>
                </c:pt>
                <c:pt idx="24">
                  <c:v>38684</c:v>
                </c:pt>
                <c:pt idx="25">
                  <c:v>38691</c:v>
                </c:pt>
                <c:pt idx="26">
                  <c:v>38698</c:v>
                </c:pt>
                <c:pt idx="27">
                  <c:v>38705</c:v>
                </c:pt>
                <c:pt idx="28">
                  <c:v>38712</c:v>
                </c:pt>
                <c:pt idx="29">
                  <c:v>38719</c:v>
                </c:pt>
              </c:numCache>
            </c:numRef>
          </c:cat>
          <c:val>
            <c:numRef>
              <c:f>'Example_PB Curve'!$C$43:$AF$43</c:f>
              <c:numCache>
                <c:formatCode>General</c:formatCode>
                <c:ptCount val="30"/>
                <c:pt idx="0">
                  <c:v>1416</c:v>
                </c:pt>
                <c:pt idx="1">
                  <c:v>1416</c:v>
                </c:pt>
                <c:pt idx="2">
                  <c:v>1416</c:v>
                </c:pt>
                <c:pt idx="3">
                  <c:v>1416</c:v>
                </c:pt>
                <c:pt idx="4">
                  <c:v>1416</c:v>
                </c:pt>
                <c:pt idx="5">
                  <c:v>1416</c:v>
                </c:pt>
                <c:pt idx="6">
                  <c:v>1400</c:v>
                </c:pt>
                <c:pt idx="7">
                  <c:v>1375</c:v>
                </c:pt>
                <c:pt idx="8">
                  <c:v>1345</c:v>
                </c:pt>
                <c:pt idx="9">
                  <c:v>1215</c:v>
                </c:pt>
                <c:pt idx="10">
                  <c:v>1090</c:v>
                </c:pt>
                <c:pt idx="11">
                  <c:v>930</c:v>
                </c:pt>
                <c:pt idx="12">
                  <c:v>680</c:v>
                </c:pt>
                <c:pt idx="13">
                  <c:v>560</c:v>
                </c:pt>
                <c:pt idx="14">
                  <c:v>440</c:v>
                </c:pt>
                <c:pt idx="15">
                  <c:v>260</c:v>
                </c:pt>
                <c:pt idx="16">
                  <c:v>170</c:v>
                </c:pt>
                <c:pt idx="17">
                  <c:v>170</c:v>
                </c:pt>
                <c:pt idx="18">
                  <c:v>170</c:v>
                </c:pt>
                <c:pt idx="19">
                  <c:v>170</c:v>
                </c:pt>
                <c:pt idx="20">
                  <c:v>170</c:v>
                </c:pt>
                <c:pt idx="21">
                  <c:v>170</c:v>
                </c:pt>
                <c:pt idx="22">
                  <c:v>170</c:v>
                </c:pt>
                <c:pt idx="23">
                  <c:v>170</c:v>
                </c:pt>
                <c:pt idx="24">
                  <c:v>170</c:v>
                </c:pt>
                <c:pt idx="25">
                  <c:v>170</c:v>
                </c:pt>
                <c:pt idx="26">
                  <c:v>170</c:v>
                </c:pt>
                <c:pt idx="27">
                  <c:v>170</c:v>
                </c:pt>
                <c:pt idx="28">
                  <c:v>170</c:v>
                </c:pt>
                <c:pt idx="29">
                  <c:v>170</c:v>
                </c:pt>
              </c:numCache>
            </c:numRef>
          </c:val>
          <c:smooth val="0"/>
          <c:extLst>
            <c:ext xmlns:c16="http://schemas.microsoft.com/office/drawing/2014/chart" uri="{C3380CC4-5D6E-409C-BE32-E72D297353CC}">
              <c16:uniqueId val="{00000001-19D1-4218-8CA5-2864D3EC185E}"/>
            </c:ext>
          </c:extLst>
        </c:ser>
        <c:dLbls>
          <c:showLegendKey val="0"/>
          <c:showVal val="0"/>
          <c:showCatName val="0"/>
          <c:showSerName val="0"/>
          <c:showPercent val="0"/>
          <c:showBubbleSize val="0"/>
        </c:dLbls>
        <c:marker val="1"/>
        <c:smooth val="0"/>
        <c:axId val="69207936"/>
        <c:axId val="70664576"/>
      </c:lineChart>
      <c:lineChart>
        <c:grouping val="standard"/>
        <c:varyColors val="0"/>
        <c:ser>
          <c:idx val="0"/>
          <c:order val="2"/>
          <c:tx>
            <c:strRef>
              <c:f>'Example_PB Curve'!$B$45</c:f>
              <c:strCache>
                <c:ptCount val="1"/>
                <c:pt idx="0">
                  <c:v>Inc-Detected (standard)</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'Example_PB Curve'!$C$41:$AF$41</c:f>
              <c:numCache>
                <c:formatCode>m/d;@</c:formatCode>
                <c:ptCount val="30"/>
                <c:pt idx="0">
                  <c:v>38516</c:v>
                </c:pt>
                <c:pt idx="1">
                  <c:v>38523</c:v>
                </c:pt>
                <c:pt idx="2">
                  <c:v>38530</c:v>
                </c:pt>
                <c:pt idx="3">
                  <c:v>38537</c:v>
                </c:pt>
                <c:pt idx="4">
                  <c:v>38544</c:v>
                </c:pt>
                <c:pt idx="5">
                  <c:v>38551</c:v>
                </c:pt>
                <c:pt idx="6">
                  <c:v>38558</c:v>
                </c:pt>
                <c:pt idx="7">
                  <c:v>38565</c:v>
                </c:pt>
                <c:pt idx="8">
                  <c:v>38572</c:v>
                </c:pt>
                <c:pt idx="9">
                  <c:v>38579</c:v>
                </c:pt>
                <c:pt idx="10">
                  <c:v>38586</c:v>
                </c:pt>
                <c:pt idx="11">
                  <c:v>38593</c:v>
                </c:pt>
                <c:pt idx="12">
                  <c:v>38600</c:v>
                </c:pt>
                <c:pt idx="13">
                  <c:v>38607</c:v>
                </c:pt>
                <c:pt idx="14">
                  <c:v>38614</c:v>
                </c:pt>
                <c:pt idx="15">
                  <c:v>38621</c:v>
                </c:pt>
                <c:pt idx="16">
                  <c:v>38628</c:v>
                </c:pt>
                <c:pt idx="17">
                  <c:v>38635</c:v>
                </c:pt>
                <c:pt idx="18">
                  <c:v>38642</c:v>
                </c:pt>
                <c:pt idx="19">
                  <c:v>38649</c:v>
                </c:pt>
                <c:pt idx="20">
                  <c:v>38656</c:v>
                </c:pt>
                <c:pt idx="21">
                  <c:v>38663</c:v>
                </c:pt>
                <c:pt idx="22">
                  <c:v>38670</c:v>
                </c:pt>
                <c:pt idx="23">
                  <c:v>38677</c:v>
                </c:pt>
                <c:pt idx="24">
                  <c:v>38684</c:v>
                </c:pt>
                <c:pt idx="25">
                  <c:v>38691</c:v>
                </c:pt>
                <c:pt idx="26">
                  <c:v>38698</c:v>
                </c:pt>
                <c:pt idx="27">
                  <c:v>38705</c:v>
                </c:pt>
                <c:pt idx="28">
                  <c:v>38712</c:v>
                </c:pt>
                <c:pt idx="29">
                  <c:v>38719</c:v>
                </c:pt>
              </c:numCache>
            </c:numRef>
          </c:cat>
          <c:val>
            <c:numRef>
              <c:f>'Example_PB Curve'!$C$45:$AF$45</c:f>
              <c:numCache>
                <c:formatCode>General</c:formatCode>
                <c:ptCount val="30"/>
                <c:pt idx="0">
                  <c:v>0</c:v>
                </c:pt>
                <c:pt idx="1">
                  <c:v>0</c:v>
                </c:pt>
                <c:pt idx="2">
                  <c:v>0</c:v>
                </c:pt>
                <c:pt idx="3">
                  <c:v>0</c:v>
                </c:pt>
                <c:pt idx="4">
                  <c:v>0</c:v>
                </c:pt>
                <c:pt idx="5">
                  <c:v>0</c:v>
                </c:pt>
                <c:pt idx="6">
                  <c:v>4</c:v>
                </c:pt>
                <c:pt idx="7">
                  <c:v>9</c:v>
                </c:pt>
                <c:pt idx="8">
                  <c:v>15</c:v>
                </c:pt>
                <c:pt idx="9">
                  <c:v>43</c:v>
                </c:pt>
                <c:pt idx="10">
                  <c:v>69</c:v>
                </c:pt>
                <c:pt idx="11">
                  <c:v>103</c:v>
                </c:pt>
                <c:pt idx="12">
                  <c:v>156</c:v>
                </c:pt>
                <c:pt idx="13">
                  <c:v>181</c:v>
                </c:pt>
                <c:pt idx="14">
                  <c:v>207</c:v>
                </c:pt>
                <c:pt idx="15">
                  <c:v>245</c:v>
                </c:pt>
                <c:pt idx="16">
                  <c:v>264</c:v>
                </c:pt>
                <c:pt idx="17">
                  <c:v>264</c:v>
                </c:pt>
                <c:pt idx="18">
                  <c:v>264</c:v>
                </c:pt>
                <c:pt idx="19">
                  <c:v>264</c:v>
                </c:pt>
                <c:pt idx="20">
                  <c:v>264</c:v>
                </c:pt>
                <c:pt idx="21">
                  <c:v>264</c:v>
                </c:pt>
                <c:pt idx="22">
                  <c:v>264</c:v>
                </c:pt>
                <c:pt idx="23">
                  <c:v>264</c:v>
                </c:pt>
                <c:pt idx="24">
                  <c:v>264</c:v>
                </c:pt>
                <c:pt idx="25">
                  <c:v>264</c:v>
                </c:pt>
                <c:pt idx="26">
                  <c:v>264</c:v>
                </c:pt>
                <c:pt idx="27">
                  <c:v>264</c:v>
                </c:pt>
                <c:pt idx="28">
                  <c:v>264</c:v>
                </c:pt>
                <c:pt idx="29">
                  <c:v>264</c:v>
                </c:pt>
              </c:numCache>
            </c:numRef>
          </c:val>
          <c:smooth val="0"/>
          <c:extLst>
            <c:ext xmlns:c16="http://schemas.microsoft.com/office/drawing/2014/chart" uri="{C3380CC4-5D6E-409C-BE32-E72D297353CC}">
              <c16:uniqueId val="{00000002-19D1-4218-8CA5-2864D3EC185E}"/>
            </c:ext>
          </c:extLst>
        </c:ser>
        <c:ser>
          <c:idx val="1"/>
          <c:order val="3"/>
          <c:tx>
            <c:strRef>
              <c:f>'Example_PB Curve'!$B$46</c:f>
              <c:strCache>
                <c:ptCount val="1"/>
                <c:pt idx="0">
                  <c:v>Inc detected (accum)</c:v>
                </c:pt>
              </c:strCache>
            </c:strRef>
          </c:tx>
          <c:spPr>
            <a:ln w="12700">
              <a:solidFill>
                <a:srgbClr val="FF00FF"/>
              </a:solidFill>
              <a:prstDash val="solid"/>
            </a:ln>
          </c:spPr>
          <c:marker>
            <c:symbol val="square"/>
            <c:size val="5"/>
            <c:spPr>
              <a:solidFill>
                <a:srgbClr val="FF00FF"/>
              </a:solidFill>
              <a:ln>
                <a:solidFill>
                  <a:srgbClr val="FF00FF"/>
                </a:solidFill>
                <a:prstDash val="solid"/>
              </a:ln>
            </c:spPr>
          </c:marker>
          <c:cat>
            <c:numRef>
              <c:f>'Example_PB Curve'!$C$41:$AF$41</c:f>
              <c:numCache>
                <c:formatCode>m/d;@</c:formatCode>
                <c:ptCount val="30"/>
                <c:pt idx="0">
                  <c:v>38516</c:v>
                </c:pt>
                <c:pt idx="1">
                  <c:v>38523</c:v>
                </c:pt>
                <c:pt idx="2">
                  <c:v>38530</c:v>
                </c:pt>
                <c:pt idx="3">
                  <c:v>38537</c:v>
                </c:pt>
                <c:pt idx="4">
                  <c:v>38544</c:v>
                </c:pt>
                <c:pt idx="5">
                  <c:v>38551</c:v>
                </c:pt>
                <c:pt idx="6">
                  <c:v>38558</c:v>
                </c:pt>
                <c:pt idx="7">
                  <c:v>38565</c:v>
                </c:pt>
                <c:pt idx="8">
                  <c:v>38572</c:v>
                </c:pt>
                <c:pt idx="9">
                  <c:v>38579</c:v>
                </c:pt>
                <c:pt idx="10">
                  <c:v>38586</c:v>
                </c:pt>
                <c:pt idx="11">
                  <c:v>38593</c:v>
                </c:pt>
                <c:pt idx="12">
                  <c:v>38600</c:v>
                </c:pt>
                <c:pt idx="13">
                  <c:v>38607</c:v>
                </c:pt>
                <c:pt idx="14">
                  <c:v>38614</c:v>
                </c:pt>
                <c:pt idx="15">
                  <c:v>38621</c:v>
                </c:pt>
                <c:pt idx="16">
                  <c:v>38628</c:v>
                </c:pt>
                <c:pt idx="17">
                  <c:v>38635</c:v>
                </c:pt>
                <c:pt idx="18">
                  <c:v>38642</c:v>
                </c:pt>
                <c:pt idx="19">
                  <c:v>38649</c:v>
                </c:pt>
                <c:pt idx="20">
                  <c:v>38656</c:v>
                </c:pt>
                <c:pt idx="21">
                  <c:v>38663</c:v>
                </c:pt>
                <c:pt idx="22">
                  <c:v>38670</c:v>
                </c:pt>
                <c:pt idx="23">
                  <c:v>38677</c:v>
                </c:pt>
                <c:pt idx="24">
                  <c:v>38684</c:v>
                </c:pt>
                <c:pt idx="25">
                  <c:v>38691</c:v>
                </c:pt>
                <c:pt idx="26">
                  <c:v>38698</c:v>
                </c:pt>
                <c:pt idx="27">
                  <c:v>38705</c:v>
                </c:pt>
                <c:pt idx="28">
                  <c:v>38712</c:v>
                </c:pt>
                <c:pt idx="29">
                  <c:v>38719</c:v>
                </c:pt>
              </c:numCache>
            </c:numRef>
          </c:cat>
          <c:val>
            <c:numRef>
              <c:f>'Example_PB Curve'!$C$46:$AF$46</c:f>
              <c:numCache>
                <c:formatCode>General</c:formatCode>
                <c:ptCount val="30"/>
                <c:pt idx="0">
                  <c:v>0</c:v>
                </c:pt>
                <c:pt idx="1">
                  <c:v>0</c:v>
                </c:pt>
                <c:pt idx="2">
                  <c:v>0</c:v>
                </c:pt>
                <c:pt idx="3">
                  <c:v>0</c:v>
                </c:pt>
                <c:pt idx="4">
                  <c:v>0</c:v>
                </c:pt>
                <c:pt idx="5">
                  <c:v>0</c:v>
                </c:pt>
                <c:pt idx="6">
                  <c:v>0</c:v>
                </c:pt>
                <c:pt idx="7">
                  <c:v>1</c:v>
                </c:pt>
                <c:pt idx="8">
                  <c:v>10</c:v>
                </c:pt>
                <c:pt idx="9">
                  <c:v>23</c:v>
                </c:pt>
                <c:pt idx="10">
                  <c:v>48</c:v>
                </c:pt>
                <c:pt idx="11">
                  <c:v>79</c:v>
                </c:pt>
                <c:pt idx="12">
                  <c:v>117</c:v>
                </c:pt>
                <c:pt idx="13">
                  <c:v>160</c:v>
                </c:pt>
                <c:pt idx="14">
                  <c:v>180</c:v>
                </c:pt>
                <c:pt idx="15">
                  <c:v>235</c:v>
                </c:pt>
                <c:pt idx="16">
                  <c:v>277</c:v>
                </c:pt>
                <c:pt idx="17">
                  <c:v>277</c:v>
                </c:pt>
                <c:pt idx="18">
                  <c:v>277</c:v>
                </c:pt>
                <c:pt idx="19">
                  <c:v>277</c:v>
                </c:pt>
                <c:pt idx="20">
                  <c:v>277</c:v>
                </c:pt>
                <c:pt idx="21">
                  <c:v>277</c:v>
                </c:pt>
                <c:pt idx="22">
                  <c:v>277</c:v>
                </c:pt>
                <c:pt idx="23">
                  <c:v>277</c:v>
                </c:pt>
                <c:pt idx="24">
                  <c:v>277</c:v>
                </c:pt>
                <c:pt idx="25">
                  <c:v>277</c:v>
                </c:pt>
                <c:pt idx="26">
                  <c:v>277</c:v>
                </c:pt>
                <c:pt idx="27">
                  <c:v>277</c:v>
                </c:pt>
                <c:pt idx="28">
                  <c:v>277</c:v>
                </c:pt>
                <c:pt idx="29">
                  <c:v>277</c:v>
                </c:pt>
              </c:numCache>
            </c:numRef>
          </c:val>
          <c:smooth val="0"/>
          <c:extLst>
            <c:ext xmlns:c16="http://schemas.microsoft.com/office/drawing/2014/chart" uri="{C3380CC4-5D6E-409C-BE32-E72D297353CC}">
              <c16:uniqueId val="{00000003-19D1-4218-8CA5-2864D3EC185E}"/>
            </c:ext>
          </c:extLst>
        </c:ser>
        <c:ser>
          <c:idx val="4"/>
          <c:order val="4"/>
          <c:tx>
            <c:strRef>
              <c:f>'Example_PB Curve'!$B$47</c:f>
              <c:strCache>
                <c:ptCount val="1"/>
                <c:pt idx="0">
                  <c:v>Inc fixed (accum)</c:v>
                </c:pt>
              </c:strCache>
            </c:strRef>
          </c:tx>
          <c:spPr>
            <a:ln w="12700">
              <a:solidFill>
                <a:srgbClr val="800080"/>
              </a:solidFill>
              <a:prstDash val="solid"/>
            </a:ln>
          </c:spPr>
          <c:marker>
            <c:symbol val="star"/>
            <c:size val="5"/>
            <c:spPr>
              <a:noFill/>
              <a:ln>
                <a:solidFill>
                  <a:srgbClr val="800080"/>
                </a:solidFill>
                <a:prstDash val="solid"/>
              </a:ln>
            </c:spPr>
          </c:marker>
          <c:cat>
            <c:numRef>
              <c:f>'Example_PB Curve'!$C$41:$AF$41</c:f>
              <c:numCache>
                <c:formatCode>m/d;@</c:formatCode>
                <c:ptCount val="30"/>
                <c:pt idx="0">
                  <c:v>38516</c:v>
                </c:pt>
                <c:pt idx="1">
                  <c:v>38523</c:v>
                </c:pt>
                <c:pt idx="2">
                  <c:v>38530</c:v>
                </c:pt>
                <c:pt idx="3">
                  <c:v>38537</c:v>
                </c:pt>
                <c:pt idx="4">
                  <c:v>38544</c:v>
                </c:pt>
                <c:pt idx="5">
                  <c:v>38551</c:v>
                </c:pt>
                <c:pt idx="6">
                  <c:v>38558</c:v>
                </c:pt>
                <c:pt idx="7">
                  <c:v>38565</c:v>
                </c:pt>
                <c:pt idx="8">
                  <c:v>38572</c:v>
                </c:pt>
                <c:pt idx="9">
                  <c:v>38579</c:v>
                </c:pt>
                <c:pt idx="10">
                  <c:v>38586</c:v>
                </c:pt>
                <c:pt idx="11">
                  <c:v>38593</c:v>
                </c:pt>
                <c:pt idx="12">
                  <c:v>38600</c:v>
                </c:pt>
                <c:pt idx="13">
                  <c:v>38607</c:v>
                </c:pt>
                <c:pt idx="14">
                  <c:v>38614</c:v>
                </c:pt>
                <c:pt idx="15">
                  <c:v>38621</c:v>
                </c:pt>
                <c:pt idx="16">
                  <c:v>38628</c:v>
                </c:pt>
                <c:pt idx="17">
                  <c:v>38635</c:v>
                </c:pt>
                <c:pt idx="18">
                  <c:v>38642</c:v>
                </c:pt>
                <c:pt idx="19">
                  <c:v>38649</c:v>
                </c:pt>
                <c:pt idx="20">
                  <c:v>38656</c:v>
                </c:pt>
                <c:pt idx="21">
                  <c:v>38663</c:v>
                </c:pt>
                <c:pt idx="22">
                  <c:v>38670</c:v>
                </c:pt>
                <c:pt idx="23">
                  <c:v>38677</c:v>
                </c:pt>
                <c:pt idx="24">
                  <c:v>38684</c:v>
                </c:pt>
                <c:pt idx="25">
                  <c:v>38691</c:v>
                </c:pt>
                <c:pt idx="26">
                  <c:v>38698</c:v>
                </c:pt>
                <c:pt idx="27">
                  <c:v>38705</c:v>
                </c:pt>
                <c:pt idx="28">
                  <c:v>38712</c:v>
                </c:pt>
                <c:pt idx="29">
                  <c:v>38719</c:v>
                </c:pt>
              </c:numCache>
            </c:numRef>
          </c:cat>
          <c:val>
            <c:numRef>
              <c:f>'Example_PB Curve'!$C$47:$AF$47</c:f>
              <c:numCache>
                <c:formatCode>General</c:formatCode>
                <c:ptCount val="30"/>
                <c:pt idx="0">
                  <c:v>0</c:v>
                </c:pt>
                <c:pt idx="1">
                  <c:v>0</c:v>
                </c:pt>
                <c:pt idx="2">
                  <c:v>0</c:v>
                </c:pt>
                <c:pt idx="3">
                  <c:v>0</c:v>
                </c:pt>
                <c:pt idx="4">
                  <c:v>0</c:v>
                </c:pt>
                <c:pt idx="5">
                  <c:v>0</c:v>
                </c:pt>
                <c:pt idx="6">
                  <c:v>0</c:v>
                </c:pt>
                <c:pt idx="7">
                  <c:v>1</c:v>
                </c:pt>
                <c:pt idx="8">
                  <c:v>9</c:v>
                </c:pt>
                <c:pt idx="9">
                  <c:v>19</c:v>
                </c:pt>
                <c:pt idx="10">
                  <c:v>45</c:v>
                </c:pt>
                <c:pt idx="11">
                  <c:v>68</c:v>
                </c:pt>
                <c:pt idx="12">
                  <c:v>76</c:v>
                </c:pt>
                <c:pt idx="13">
                  <c:v>147</c:v>
                </c:pt>
                <c:pt idx="14">
                  <c:v>176</c:v>
                </c:pt>
                <c:pt idx="15">
                  <c:v>222</c:v>
                </c:pt>
                <c:pt idx="16">
                  <c:v>261</c:v>
                </c:pt>
                <c:pt idx="17">
                  <c:v>261</c:v>
                </c:pt>
                <c:pt idx="18">
                  <c:v>261</c:v>
                </c:pt>
                <c:pt idx="19">
                  <c:v>261</c:v>
                </c:pt>
                <c:pt idx="20">
                  <c:v>261</c:v>
                </c:pt>
                <c:pt idx="21">
                  <c:v>261</c:v>
                </c:pt>
                <c:pt idx="22">
                  <c:v>261</c:v>
                </c:pt>
                <c:pt idx="23">
                  <c:v>261</c:v>
                </c:pt>
                <c:pt idx="24">
                  <c:v>261</c:v>
                </c:pt>
                <c:pt idx="25">
                  <c:v>261</c:v>
                </c:pt>
                <c:pt idx="26">
                  <c:v>261</c:v>
                </c:pt>
                <c:pt idx="27">
                  <c:v>261</c:v>
                </c:pt>
                <c:pt idx="28">
                  <c:v>261</c:v>
                </c:pt>
                <c:pt idx="29">
                  <c:v>261</c:v>
                </c:pt>
              </c:numCache>
            </c:numRef>
          </c:val>
          <c:smooth val="0"/>
          <c:extLst>
            <c:ext xmlns:c16="http://schemas.microsoft.com/office/drawing/2014/chart" uri="{C3380CC4-5D6E-409C-BE32-E72D297353CC}">
              <c16:uniqueId val="{00000004-19D1-4218-8CA5-2864D3EC185E}"/>
            </c:ext>
          </c:extLst>
        </c:ser>
        <c:dLbls>
          <c:showLegendKey val="0"/>
          <c:showVal val="0"/>
          <c:showCatName val="0"/>
          <c:showSerName val="0"/>
          <c:showPercent val="0"/>
          <c:showBubbleSize val="0"/>
        </c:dLbls>
        <c:marker val="1"/>
        <c:smooth val="0"/>
        <c:axId val="70667648"/>
        <c:axId val="72529024"/>
      </c:lineChart>
      <c:dateAx>
        <c:axId val="69207936"/>
        <c:scaling>
          <c:orientation val="minMax"/>
        </c:scaling>
        <c:delete val="0"/>
        <c:axPos val="b"/>
        <c:minorGridlines>
          <c:spPr>
            <a:ln w="3175">
              <a:solidFill>
                <a:srgbClr val="000000"/>
              </a:solidFill>
              <a:prstDash val="sysDash"/>
            </a:ln>
          </c:spPr>
        </c:minorGridlines>
        <c:title>
          <c:tx>
            <c:rich>
              <a:bodyPr/>
              <a:lstStyle/>
              <a:p>
                <a:pPr>
                  <a:defRPr sz="1475" b="0" i="0" u="none" strike="noStrike" baseline="0">
                    <a:solidFill>
                      <a:srgbClr val="000000"/>
                    </a:solidFill>
                    <a:latin typeface="ＭＳ Ｐゴシック"/>
                    <a:ea typeface="ＭＳ Ｐゴシック"/>
                    <a:cs typeface="ＭＳ Ｐゴシック"/>
                  </a:defRPr>
                </a:pPr>
                <a:r>
                  <a:rPr lang="en-US"/>
                  <a:t>Date</a:t>
                </a:r>
              </a:p>
            </c:rich>
          </c:tx>
          <c:layout>
            <c:manualLayout>
              <c:xMode val="edge"/>
              <c:yMode val="edge"/>
              <c:x val="0.48564972593176375"/>
              <c:y val="0.90322580645161288"/>
            </c:manualLayout>
          </c:layout>
          <c:overlay val="0"/>
          <c:spPr>
            <a:noFill/>
            <a:ln w="25400">
              <a:noFill/>
            </a:ln>
          </c:spPr>
        </c:title>
        <c:numFmt formatCode="d\-mmm" sourceLinked="0"/>
        <c:majorTickMark val="cross"/>
        <c:minorTickMark val="none"/>
        <c:tickLblPos val="nextTo"/>
        <c:spPr>
          <a:ln w="3175">
            <a:solidFill>
              <a:srgbClr val="000000"/>
            </a:solidFill>
            <a:prstDash val="solid"/>
          </a:ln>
        </c:spPr>
        <c:txPr>
          <a:bodyPr rot="-5400000" vert="horz"/>
          <a:lstStyle/>
          <a:p>
            <a:pPr>
              <a:defRPr sz="1200" b="0" i="0" u="none" strike="noStrike" baseline="0">
                <a:solidFill>
                  <a:srgbClr val="000000"/>
                </a:solidFill>
                <a:latin typeface="ＭＳ Ｐゴシック"/>
                <a:ea typeface="ＭＳ Ｐゴシック"/>
                <a:cs typeface="ＭＳ Ｐゴシック"/>
              </a:defRPr>
            </a:pPr>
            <a:endParaRPr lang="en-US"/>
          </a:p>
        </c:txPr>
        <c:crossAx val="70664576"/>
        <c:crosses val="autoZero"/>
        <c:auto val="1"/>
        <c:lblOffset val="100"/>
        <c:baseTimeUnit val="days"/>
        <c:majorUnit val="7"/>
        <c:majorTimeUnit val="days"/>
        <c:minorUnit val="7"/>
        <c:minorTimeUnit val="days"/>
      </c:dateAx>
      <c:valAx>
        <c:axId val="70664576"/>
        <c:scaling>
          <c:orientation val="minMax"/>
        </c:scaling>
        <c:delete val="0"/>
        <c:axPos val="l"/>
        <c:majorGridlines>
          <c:spPr>
            <a:ln w="3175">
              <a:solidFill>
                <a:srgbClr val="000000"/>
              </a:solidFill>
              <a:prstDash val="sysDash"/>
            </a:ln>
          </c:spPr>
        </c:majorGridlines>
        <c:title>
          <c:tx>
            <c:rich>
              <a:bodyPr/>
              <a:lstStyle/>
              <a:p>
                <a:pPr>
                  <a:defRPr sz="1475" b="0" i="0" u="none" strike="noStrike" baseline="0">
                    <a:solidFill>
                      <a:srgbClr val="000000"/>
                    </a:solidFill>
                    <a:latin typeface="ＭＳ Ｐゴシック"/>
                    <a:ea typeface="ＭＳ Ｐゴシック"/>
                    <a:cs typeface="ＭＳ Ｐゴシック"/>
                  </a:defRPr>
                </a:pPr>
                <a:r>
                  <a:rPr lang="en-US"/>
                  <a:t>Number of Test Cases</a:t>
                </a:r>
              </a:p>
            </c:rich>
          </c:tx>
          <c:layout>
            <c:manualLayout>
              <c:xMode val="edge"/>
              <c:yMode val="edge"/>
              <c:x val="2.945620421670107E-2"/>
              <c:y val="0.30161290322580647"/>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ＭＳ Ｐゴシック"/>
                <a:ea typeface="ＭＳ Ｐゴシック"/>
                <a:cs typeface="ＭＳ Ｐゴシック"/>
              </a:defRPr>
            </a:pPr>
            <a:endParaRPr lang="en-US"/>
          </a:p>
        </c:txPr>
        <c:crossAx val="69207936"/>
        <c:crosses val="autoZero"/>
        <c:crossBetween val="between"/>
      </c:valAx>
      <c:dateAx>
        <c:axId val="70667648"/>
        <c:scaling>
          <c:orientation val="minMax"/>
        </c:scaling>
        <c:delete val="1"/>
        <c:axPos val="b"/>
        <c:numFmt formatCode="m/d;@" sourceLinked="1"/>
        <c:majorTickMark val="out"/>
        <c:minorTickMark val="none"/>
        <c:tickLblPos val="none"/>
        <c:crossAx val="72529024"/>
        <c:crosses val="autoZero"/>
        <c:auto val="1"/>
        <c:lblOffset val="100"/>
        <c:baseTimeUnit val="days"/>
      </c:dateAx>
      <c:valAx>
        <c:axId val="72529024"/>
        <c:scaling>
          <c:orientation val="minMax"/>
        </c:scaling>
        <c:delete val="0"/>
        <c:axPos val="r"/>
        <c:title>
          <c:tx>
            <c:rich>
              <a:bodyPr/>
              <a:lstStyle/>
              <a:p>
                <a:pPr>
                  <a:defRPr sz="1475" b="0" i="0" u="none" strike="noStrike" baseline="0">
                    <a:solidFill>
                      <a:srgbClr val="000000"/>
                    </a:solidFill>
                    <a:latin typeface="ＭＳ Ｐゴシック"/>
                    <a:ea typeface="ＭＳ Ｐゴシック"/>
                    <a:cs typeface="ＭＳ Ｐゴシック"/>
                  </a:defRPr>
                </a:pPr>
                <a:r>
                  <a:rPr lang="en-US"/>
                  <a:t>Number of Incidents</a:t>
                </a:r>
              </a:p>
            </c:rich>
          </c:tx>
          <c:layout>
            <c:manualLayout>
              <c:xMode val="edge"/>
              <c:yMode val="edge"/>
              <c:x val="0.94864083323529591"/>
              <c:y val="0.31774193548387097"/>
            </c:manualLayout>
          </c:layout>
          <c:overlay val="0"/>
          <c:spPr>
            <a:noFill/>
            <a:ln w="25400">
              <a:noFill/>
            </a:ln>
          </c:spPr>
        </c:title>
        <c:numFmt formatCode="General" sourceLinked="1"/>
        <c:majorTickMark val="cross"/>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ＭＳ Ｐゴシック"/>
                <a:ea typeface="ＭＳ Ｐゴシック"/>
                <a:cs typeface="ＭＳ Ｐゴシック"/>
              </a:defRPr>
            </a:pPr>
            <a:endParaRPr lang="en-US"/>
          </a:p>
        </c:txPr>
        <c:crossAx val="70667648"/>
        <c:crosses val="max"/>
        <c:crossBetween val="between"/>
      </c:valAx>
      <c:spPr>
        <a:solidFill>
          <a:srgbClr val="FFFFFF"/>
        </a:solidFill>
        <a:ln w="12700">
          <a:solidFill>
            <a:srgbClr val="808080"/>
          </a:solidFill>
          <a:prstDash val="solid"/>
        </a:ln>
      </c:spPr>
    </c:plotArea>
    <c:legend>
      <c:legendPos val="r"/>
      <c:layout>
        <c:manualLayout>
          <c:xMode val="edge"/>
          <c:yMode val="edge"/>
          <c:x val="0.72885223254144949"/>
          <c:y val="0.18709677419354839"/>
          <c:w val="0.18126894902585272"/>
          <c:h val="0.17096774193548386"/>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ＭＳ Ｐゴシック"/>
              <a:ea typeface="ＭＳ Ｐゴシック"/>
              <a:cs typeface="ＭＳ Ｐゴシック"/>
            </a:defRPr>
          </a:pPr>
          <a:endParaRPr lang="en-US"/>
        </a:p>
      </c:txPr>
    </c:legend>
    <c:plotVisOnly val="1"/>
    <c:dispBlanksAs val="gap"/>
    <c:showDLblsOverMax val="0"/>
  </c:chart>
  <c:spPr>
    <a:solidFill>
      <a:srgbClr val="FFFF99"/>
    </a:solidFill>
    <a:ln w="3175">
      <a:solidFill>
        <a:srgbClr val="000000"/>
      </a:solidFill>
      <a:prstDash val="solid"/>
    </a:ln>
  </c:spPr>
  <c:txPr>
    <a:bodyPr/>
    <a:lstStyle/>
    <a:p>
      <a:pPr>
        <a:defRPr sz="2600" b="0" i="0" u="none" strike="noStrike" baseline="0">
          <a:solidFill>
            <a:srgbClr val="000000"/>
          </a:solidFill>
          <a:latin typeface="ＭＳ Ｐゴシック"/>
          <a:ea typeface="ＭＳ Ｐゴシック"/>
          <a:cs typeface="ＭＳ Ｐゴシック"/>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chart" Target="../charts/chart35.xml"/><Relationship Id="rId18" Type="http://schemas.openxmlformats.org/officeDocument/2006/relationships/chart" Target="../charts/chart40.xml"/><Relationship Id="rId3" Type="http://schemas.openxmlformats.org/officeDocument/2006/relationships/chart" Target="../charts/chart25.xml"/><Relationship Id="rId7" Type="http://schemas.openxmlformats.org/officeDocument/2006/relationships/chart" Target="../charts/chart29.xml"/><Relationship Id="rId12" Type="http://schemas.openxmlformats.org/officeDocument/2006/relationships/chart" Target="../charts/chart34.xml"/><Relationship Id="rId17" Type="http://schemas.openxmlformats.org/officeDocument/2006/relationships/chart" Target="../charts/chart39.xml"/><Relationship Id="rId2" Type="http://schemas.openxmlformats.org/officeDocument/2006/relationships/chart" Target="../charts/chart24.xml"/><Relationship Id="rId16" Type="http://schemas.openxmlformats.org/officeDocument/2006/relationships/chart" Target="../charts/chart38.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5" Type="http://schemas.openxmlformats.org/officeDocument/2006/relationships/chart" Target="../charts/chart37.xml"/><Relationship Id="rId10" Type="http://schemas.openxmlformats.org/officeDocument/2006/relationships/chart" Target="../charts/chart32.xml"/><Relationship Id="rId19" Type="http://schemas.openxmlformats.org/officeDocument/2006/relationships/chart" Target="../charts/chart41.xml"/><Relationship Id="rId4" Type="http://schemas.openxmlformats.org/officeDocument/2006/relationships/chart" Target="../charts/chart26.xml"/><Relationship Id="rId9" Type="http://schemas.openxmlformats.org/officeDocument/2006/relationships/chart" Target="../charts/chart31.xml"/><Relationship Id="rId14" Type="http://schemas.openxmlformats.org/officeDocument/2006/relationships/chart" Target="../charts/chart3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2.xml"/></Relationships>
</file>

<file path=xl/drawings/drawing1.xml><?xml version="1.0" encoding="utf-8"?>
<xdr:wsDr xmlns:xdr="http://schemas.openxmlformats.org/drawingml/2006/spreadsheetDrawing" xmlns:a="http://schemas.openxmlformats.org/drawingml/2006/main">
  <xdr:twoCellAnchor>
    <xdr:from>
      <xdr:col>1</xdr:col>
      <xdr:colOff>0</xdr:colOff>
      <xdr:row>48</xdr:row>
      <xdr:rowOff>0</xdr:rowOff>
    </xdr:from>
    <xdr:to>
      <xdr:col>1</xdr:col>
      <xdr:colOff>723900</xdr:colOff>
      <xdr:row>48</xdr:row>
      <xdr:rowOff>0</xdr:rowOff>
    </xdr:to>
    <xdr:sp macro="" textlink="">
      <xdr:nvSpPr>
        <xdr:cNvPr id="1026" name="テキスト 1">
          <a:extLst>
            <a:ext uri="{FF2B5EF4-FFF2-40B4-BE49-F238E27FC236}">
              <a16:creationId xmlns:a16="http://schemas.microsoft.com/office/drawing/2014/main" id="{00000000-0008-0000-0000-000002040000}"/>
            </a:ext>
          </a:extLst>
        </xdr:cNvPr>
        <xdr:cNvSpPr txBox="1">
          <a:spLocks noChangeArrowheads="1"/>
        </xdr:cNvSpPr>
      </xdr:nvSpPr>
      <xdr:spPr bwMode="auto">
        <a:xfrm>
          <a:off x="180975" y="7658100"/>
          <a:ext cx="723900" cy="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ＭＳ ゴシック"/>
              <a:ea typeface="ＭＳ ゴシック"/>
            </a:rPr>
            <a:t>UI/SS</a:t>
          </a:r>
        </a:p>
      </xdr:txBody>
    </xdr:sp>
    <xdr:clientData/>
  </xdr:twoCellAnchor>
  <xdr:twoCellAnchor>
    <xdr:from>
      <xdr:col>1</xdr:col>
      <xdr:colOff>742950</xdr:colOff>
      <xdr:row>48</xdr:row>
      <xdr:rowOff>0</xdr:rowOff>
    </xdr:from>
    <xdr:to>
      <xdr:col>15</xdr:col>
      <xdr:colOff>19050</xdr:colOff>
      <xdr:row>48</xdr:row>
      <xdr:rowOff>0</xdr:rowOff>
    </xdr:to>
    <xdr:graphicFrame macro="">
      <xdr:nvGraphicFramePr>
        <xdr:cNvPr id="1027" name="Chart 3">
          <a:extLst>
            <a:ext uri="{FF2B5EF4-FFF2-40B4-BE49-F238E27FC236}">
              <a16:creationId xmlns:a16="http://schemas.microsoft.com/office/drawing/2014/main" id="{00000000-0008-0000-0000-00000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600075</xdr:colOff>
      <xdr:row>48</xdr:row>
      <xdr:rowOff>0</xdr:rowOff>
    </xdr:from>
    <xdr:to>
      <xdr:col>17</xdr:col>
      <xdr:colOff>314325</xdr:colOff>
      <xdr:row>48</xdr:row>
      <xdr:rowOff>0</xdr:rowOff>
    </xdr:to>
    <xdr:graphicFrame macro="">
      <xdr:nvGraphicFramePr>
        <xdr:cNvPr id="1028" name="Chart 4">
          <a:extLst>
            <a:ext uri="{FF2B5EF4-FFF2-40B4-BE49-F238E27FC236}">
              <a16:creationId xmlns:a16="http://schemas.microsoft.com/office/drawing/2014/main" id="{00000000-0008-0000-0000-00000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600075</xdr:colOff>
      <xdr:row>48</xdr:row>
      <xdr:rowOff>0</xdr:rowOff>
    </xdr:from>
    <xdr:to>
      <xdr:col>18</xdr:col>
      <xdr:colOff>0</xdr:colOff>
      <xdr:row>48</xdr:row>
      <xdr:rowOff>0</xdr:rowOff>
    </xdr:to>
    <xdr:graphicFrame macro="">
      <xdr:nvGraphicFramePr>
        <xdr:cNvPr id="1029" name="Chart 5">
          <a:extLst>
            <a:ext uri="{FF2B5EF4-FFF2-40B4-BE49-F238E27FC236}">
              <a16:creationId xmlns:a16="http://schemas.microsoft.com/office/drawing/2014/main" id="{00000000-0008-0000-0000-000005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49</xdr:row>
      <xdr:rowOff>85725</xdr:rowOff>
    </xdr:from>
    <xdr:to>
      <xdr:col>16</xdr:col>
      <xdr:colOff>152400</xdr:colOff>
      <xdr:row>83</xdr:row>
      <xdr:rowOff>87923</xdr:rowOff>
    </xdr:to>
    <xdr:sp macro="" textlink="">
      <xdr:nvSpPr>
        <xdr:cNvPr id="1031" name="Rectangle 7">
          <a:extLst>
            <a:ext uri="{FF2B5EF4-FFF2-40B4-BE49-F238E27FC236}">
              <a16:creationId xmlns:a16="http://schemas.microsoft.com/office/drawing/2014/main" id="{00000000-0008-0000-0000-000007040000}"/>
            </a:ext>
          </a:extLst>
        </xdr:cNvPr>
        <xdr:cNvSpPr>
          <a:spLocks noChangeArrowheads="1"/>
        </xdr:cNvSpPr>
      </xdr:nvSpPr>
      <xdr:spPr bwMode="auto">
        <a:xfrm>
          <a:off x="114300" y="7808302"/>
          <a:ext cx="6815504" cy="4413006"/>
        </a:xfrm>
        <a:prstGeom prst="rect">
          <a:avLst/>
        </a:prstGeom>
        <a:noFill/>
        <a:ln w="19050">
          <a:solidFill>
            <a:srgbClr val="000000"/>
          </a:solidFill>
          <a:miter lim="800000"/>
          <a:headEnd/>
          <a:tailEnd/>
        </a:ln>
      </xdr:spPr>
    </xdr:sp>
    <xdr:clientData/>
  </xdr:twoCellAnchor>
  <xdr:twoCellAnchor>
    <xdr:from>
      <xdr:col>12</xdr:col>
      <xdr:colOff>66675</xdr:colOff>
      <xdr:row>49</xdr:row>
      <xdr:rowOff>114300</xdr:rowOff>
    </xdr:from>
    <xdr:to>
      <xdr:col>16</xdr:col>
      <xdr:colOff>85725</xdr:colOff>
      <xdr:row>52</xdr:row>
      <xdr:rowOff>133350</xdr:rowOff>
    </xdr:to>
    <xdr:sp macro="" textlink="">
      <xdr:nvSpPr>
        <xdr:cNvPr id="1032" name="Text Box 8">
          <a:extLst>
            <a:ext uri="{FF2B5EF4-FFF2-40B4-BE49-F238E27FC236}">
              <a16:creationId xmlns:a16="http://schemas.microsoft.com/office/drawing/2014/main" id="{00000000-0008-0000-0000-000008040000}"/>
            </a:ext>
          </a:extLst>
        </xdr:cNvPr>
        <xdr:cNvSpPr txBox="1">
          <a:spLocks noChangeArrowheads="1"/>
        </xdr:cNvSpPr>
      </xdr:nvSpPr>
      <xdr:spPr bwMode="auto">
        <a:xfrm>
          <a:off x="5257800" y="7858125"/>
          <a:ext cx="1600200" cy="5810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A:Ahead of schedule</a:t>
          </a:r>
        </a:p>
        <a:p>
          <a:pPr algn="l" rtl="0">
            <a:defRPr sz="1000"/>
          </a:pPr>
          <a:r>
            <a:rPr lang="en-US" sz="800" b="0" i="0" u="none" strike="noStrike" baseline="0">
              <a:solidFill>
                <a:srgbClr val="000000"/>
              </a:solidFill>
              <a:latin typeface="Arial"/>
              <a:cs typeface="Arial"/>
            </a:rPr>
            <a:t>B:On schedule</a:t>
          </a:r>
        </a:p>
        <a:p>
          <a:pPr algn="l" rtl="0">
            <a:defRPr sz="1000"/>
          </a:pPr>
          <a:r>
            <a:rPr lang="en-US" sz="800" b="0" i="0" u="none" strike="noStrike" baseline="0">
              <a:solidFill>
                <a:srgbClr val="000000"/>
              </a:solidFill>
              <a:latin typeface="Arial"/>
              <a:cs typeface="Arial"/>
            </a:rPr>
            <a:t>C:Delay (less than 1 week)</a:t>
          </a:r>
        </a:p>
        <a:p>
          <a:pPr algn="l" rtl="0">
            <a:defRPr sz="1000"/>
          </a:pPr>
          <a:r>
            <a:rPr lang="en-US" sz="800" b="0" i="0" u="none" strike="noStrike" baseline="0">
              <a:solidFill>
                <a:srgbClr val="000000"/>
              </a:solidFill>
              <a:latin typeface="Arial"/>
              <a:cs typeface="Arial"/>
            </a:rPr>
            <a:t>D:Delay (over 1 week)</a:t>
          </a:r>
        </a:p>
      </xdr:txBody>
    </xdr:sp>
    <xdr:clientData/>
  </xdr:twoCellAnchor>
  <xdr:twoCellAnchor>
    <xdr:from>
      <xdr:col>1</xdr:col>
      <xdr:colOff>0</xdr:colOff>
      <xdr:row>48</xdr:row>
      <xdr:rowOff>0</xdr:rowOff>
    </xdr:from>
    <xdr:to>
      <xdr:col>1</xdr:col>
      <xdr:colOff>723900</xdr:colOff>
      <xdr:row>48</xdr:row>
      <xdr:rowOff>0</xdr:rowOff>
    </xdr:to>
    <xdr:sp macro="" textlink="">
      <xdr:nvSpPr>
        <xdr:cNvPr id="1039" name="テキスト 1">
          <a:extLst>
            <a:ext uri="{FF2B5EF4-FFF2-40B4-BE49-F238E27FC236}">
              <a16:creationId xmlns:a16="http://schemas.microsoft.com/office/drawing/2014/main" id="{00000000-0008-0000-0000-00000F040000}"/>
            </a:ext>
          </a:extLst>
        </xdr:cNvPr>
        <xdr:cNvSpPr txBox="1">
          <a:spLocks noChangeArrowheads="1"/>
        </xdr:cNvSpPr>
      </xdr:nvSpPr>
      <xdr:spPr bwMode="auto">
        <a:xfrm>
          <a:off x="180975" y="7658100"/>
          <a:ext cx="723900" cy="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ＭＳ ゴシック"/>
              <a:ea typeface="ＭＳ ゴシック"/>
            </a:rPr>
            <a:t>User Review</a:t>
          </a:r>
        </a:p>
      </xdr:txBody>
    </xdr:sp>
    <xdr:clientData/>
  </xdr:twoCellAnchor>
  <xdr:twoCellAnchor>
    <xdr:from>
      <xdr:col>1</xdr:col>
      <xdr:colOff>742950</xdr:colOff>
      <xdr:row>48</xdr:row>
      <xdr:rowOff>0</xdr:rowOff>
    </xdr:from>
    <xdr:to>
      <xdr:col>34</xdr:col>
      <xdr:colOff>180975</xdr:colOff>
      <xdr:row>48</xdr:row>
      <xdr:rowOff>0</xdr:rowOff>
    </xdr:to>
    <xdr:graphicFrame macro="">
      <xdr:nvGraphicFramePr>
        <xdr:cNvPr id="1040" name="Chart 16">
          <a:extLst>
            <a:ext uri="{FF2B5EF4-FFF2-40B4-BE49-F238E27FC236}">
              <a16:creationId xmlns:a16="http://schemas.microsoft.com/office/drawing/2014/main" id="{00000000-0008-0000-0000-00001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35641</xdr:colOff>
      <xdr:row>80</xdr:row>
      <xdr:rowOff>26505</xdr:rowOff>
    </xdr:from>
    <xdr:to>
      <xdr:col>32</xdr:col>
      <xdr:colOff>26116</xdr:colOff>
      <xdr:row>84</xdr:row>
      <xdr:rowOff>96259</xdr:rowOff>
    </xdr:to>
    <xdr:sp macro="" textlink="">
      <xdr:nvSpPr>
        <xdr:cNvPr id="1078" name="テキスト 80">
          <a:extLst>
            <a:ext uri="{FF2B5EF4-FFF2-40B4-BE49-F238E27FC236}">
              <a16:creationId xmlns:a16="http://schemas.microsoft.com/office/drawing/2014/main" id="{00000000-0008-0000-0000-000036040000}"/>
            </a:ext>
          </a:extLst>
        </xdr:cNvPr>
        <xdr:cNvSpPr txBox="1">
          <a:spLocks noChangeArrowheads="1"/>
        </xdr:cNvSpPr>
      </xdr:nvSpPr>
      <xdr:spPr bwMode="auto">
        <a:xfrm>
          <a:off x="7192998" y="12849876"/>
          <a:ext cx="5705475" cy="722897"/>
        </a:xfrm>
        <a:prstGeom prst="rect">
          <a:avLst/>
        </a:prstGeom>
        <a:noFill/>
        <a:ln w="17145">
          <a:noFill/>
          <a:miter lim="800000"/>
          <a:headEnd/>
          <a:tailEnd/>
        </a:ln>
      </xdr:spPr>
      <xdr:txBody>
        <a:bodyPr vertOverflow="clip" wrap="square" lIns="27432" tIns="22860" rIns="0" bIns="0" anchor="t" upright="1"/>
        <a:lstStyle/>
        <a:p>
          <a:pPr algn="l" rtl="0">
            <a:defRPr sz="1000"/>
          </a:pPr>
          <a:r>
            <a:rPr lang="en-US" sz="900" b="1" i="0" u="sng" strike="noStrike" baseline="0">
              <a:solidFill>
                <a:srgbClr val="000000"/>
              </a:solidFill>
              <a:latin typeface="Arial"/>
              <a:cs typeface="Arial"/>
            </a:rPr>
            <a:t>Issue and Countermeasure</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1. Manual Deployment issue</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16</xdr:col>
      <xdr:colOff>228600</xdr:colOff>
      <xdr:row>49</xdr:row>
      <xdr:rowOff>85724</xdr:rowOff>
    </xdr:from>
    <xdr:to>
      <xdr:col>32</xdr:col>
      <xdr:colOff>47625</xdr:colOff>
      <xdr:row>83</xdr:row>
      <xdr:rowOff>65941</xdr:rowOff>
    </xdr:to>
    <xdr:sp macro="" textlink="">
      <xdr:nvSpPr>
        <xdr:cNvPr id="1079" name="Rectangle 55">
          <a:extLst>
            <a:ext uri="{FF2B5EF4-FFF2-40B4-BE49-F238E27FC236}">
              <a16:creationId xmlns:a16="http://schemas.microsoft.com/office/drawing/2014/main" id="{00000000-0008-0000-0000-000037040000}"/>
            </a:ext>
          </a:extLst>
        </xdr:cNvPr>
        <xdr:cNvSpPr>
          <a:spLocks noChangeArrowheads="1"/>
        </xdr:cNvSpPr>
      </xdr:nvSpPr>
      <xdr:spPr bwMode="auto">
        <a:xfrm>
          <a:off x="7006004" y="7808301"/>
          <a:ext cx="5915025" cy="4391025"/>
        </a:xfrm>
        <a:prstGeom prst="rect">
          <a:avLst/>
        </a:prstGeom>
        <a:noFill/>
        <a:ln w="19050">
          <a:solidFill>
            <a:srgbClr val="000000"/>
          </a:solidFill>
          <a:miter lim="800000"/>
          <a:headEnd/>
          <a:tailEnd/>
        </a:ln>
      </xdr:spPr>
    </xdr:sp>
    <xdr:clientData/>
  </xdr:twoCellAnchor>
  <xdr:twoCellAnchor>
    <xdr:from>
      <xdr:col>1</xdr:col>
      <xdr:colOff>0</xdr:colOff>
      <xdr:row>14</xdr:row>
      <xdr:rowOff>0</xdr:rowOff>
    </xdr:from>
    <xdr:to>
      <xdr:col>1</xdr:col>
      <xdr:colOff>628650</xdr:colOff>
      <xdr:row>22</xdr:row>
      <xdr:rowOff>0</xdr:rowOff>
    </xdr:to>
    <xdr:sp macro="" textlink="">
      <xdr:nvSpPr>
        <xdr:cNvPr id="1081" name="テキスト 1">
          <a:extLst>
            <a:ext uri="{FF2B5EF4-FFF2-40B4-BE49-F238E27FC236}">
              <a16:creationId xmlns:a16="http://schemas.microsoft.com/office/drawing/2014/main" id="{00000000-0008-0000-0000-000039040000}"/>
            </a:ext>
          </a:extLst>
        </xdr:cNvPr>
        <xdr:cNvSpPr txBox="1">
          <a:spLocks noChangeArrowheads="1"/>
        </xdr:cNvSpPr>
      </xdr:nvSpPr>
      <xdr:spPr bwMode="auto">
        <a:xfrm>
          <a:off x="180975" y="2133600"/>
          <a:ext cx="628650" cy="1295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ＭＳ Ｐゴシック"/>
              <a:ea typeface="ＭＳ Ｐゴシック"/>
            </a:rPr>
            <a:t>Program</a:t>
          </a:r>
        </a:p>
        <a:p>
          <a:pPr algn="ctr" rtl="0">
            <a:defRPr sz="1000"/>
          </a:pPr>
          <a:r>
            <a:rPr lang="en-US" sz="900" b="0" i="0" u="none" strike="noStrike" baseline="0">
              <a:solidFill>
                <a:srgbClr val="000000"/>
              </a:solidFill>
              <a:latin typeface="ＭＳ Ｐゴシック"/>
              <a:ea typeface="ＭＳ Ｐゴシック"/>
            </a:rPr>
            <a:t>ming</a:t>
          </a:r>
        </a:p>
        <a:p>
          <a:pPr algn="ctr" rtl="0">
            <a:defRPr sz="1000"/>
          </a:pPr>
          <a:r>
            <a:rPr lang="en-US" sz="900" b="0" i="0" u="none" strike="noStrike" baseline="0">
              <a:solidFill>
                <a:srgbClr val="000000"/>
              </a:solidFill>
              <a:latin typeface="ＭＳ Ｐゴシック"/>
              <a:ea typeface="ＭＳ Ｐゴシック"/>
            </a:rPr>
            <a:t>(Indicator: Function)</a:t>
          </a:r>
        </a:p>
      </xdr:txBody>
    </xdr:sp>
    <xdr:clientData/>
  </xdr:twoCellAnchor>
  <xdr:twoCellAnchor>
    <xdr:from>
      <xdr:col>1</xdr:col>
      <xdr:colOff>590550</xdr:colOff>
      <xdr:row>14</xdr:row>
      <xdr:rowOff>142875</xdr:rowOff>
    </xdr:from>
    <xdr:to>
      <xdr:col>33</xdr:col>
      <xdr:colOff>0</xdr:colOff>
      <xdr:row>22</xdr:row>
      <xdr:rowOff>76200</xdr:rowOff>
    </xdr:to>
    <xdr:graphicFrame macro="">
      <xdr:nvGraphicFramePr>
        <xdr:cNvPr id="1082" name="Chart 58">
          <a:extLst>
            <a:ext uri="{FF2B5EF4-FFF2-40B4-BE49-F238E27FC236}">
              <a16:creationId xmlns:a16="http://schemas.microsoft.com/office/drawing/2014/main" id="{00000000-0008-0000-0000-00003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628650</xdr:colOff>
      <xdr:row>28</xdr:row>
      <xdr:rowOff>0</xdr:rowOff>
    </xdr:from>
    <xdr:to>
      <xdr:col>24</xdr:col>
      <xdr:colOff>361950</xdr:colOff>
      <xdr:row>28</xdr:row>
      <xdr:rowOff>0</xdr:rowOff>
    </xdr:to>
    <xdr:graphicFrame macro="">
      <xdr:nvGraphicFramePr>
        <xdr:cNvPr id="1083" name="Chart 59">
          <a:extLst>
            <a:ext uri="{FF2B5EF4-FFF2-40B4-BE49-F238E27FC236}">
              <a16:creationId xmlns:a16="http://schemas.microsoft.com/office/drawing/2014/main" id="{00000000-0008-0000-0000-00003B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590550</xdr:colOff>
      <xdr:row>28</xdr:row>
      <xdr:rowOff>0</xdr:rowOff>
    </xdr:from>
    <xdr:to>
      <xdr:col>25</xdr:col>
      <xdr:colOff>390525</xdr:colOff>
      <xdr:row>28</xdr:row>
      <xdr:rowOff>0</xdr:rowOff>
    </xdr:to>
    <xdr:graphicFrame macro="">
      <xdr:nvGraphicFramePr>
        <xdr:cNvPr id="1084" name="Chart 60">
          <a:extLst>
            <a:ext uri="{FF2B5EF4-FFF2-40B4-BE49-F238E27FC236}">
              <a16:creationId xmlns:a16="http://schemas.microsoft.com/office/drawing/2014/main" id="{00000000-0008-0000-0000-00003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370906</xdr:colOff>
      <xdr:row>14</xdr:row>
      <xdr:rowOff>4911</xdr:rowOff>
    </xdr:from>
    <xdr:to>
      <xdr:col>8</xdr:col>
      <xdr:colOff>370906</xdr:colOff>
      <xdr:row>28</xdr:row>
      <xdr:rowOff>8702</xdr:rowOff>
    </xdr:to>
    <xdr:sp macro="" textlink="">
      <xdr:nvSpPr>
        <xdr:cNvPr id="1085" name="Rectangle 61">
          <a:extLst>
            <a:ext uri="{FF2B5EF4-FFF2-40B4-BE49-F238E27FC236}">
              <a16:creationId xmlns:a16="http://schemas.microsoft.com/office/drawing/2014/main" id="{00000000-0008-0000-0000-00003D040000}"/>
            </a:ext>
          </a:extLst>
        </xdr:cNvPr>
        <xdr:cNvSpPr>
          <a:spLocks noChangeArrowheads="1"/>
        </xdr:cNvSpPr>
      </xdr:nvSpPr>
      <xdr:spPr bwMode="auto">
        <a:xfrm>
          <a:off x="3657031" y="2130177"/>
          <a:ext cx="381000" cy="2254072"/>
        </a:xfrm>
        <a:prstGeom prst="rect">
          <a:avLst/>
        </a:prstGeom>
        <a:noFill/>
        <a:ln w="17145">
          <a:solidFill>
            <a:srgbClr val="FF0000"/>
          </a:solidFill>
          <a:miter lim="800000"/>
          <a:headEnd/>
          <a:tailEnd/>
        </a:ln>
      </xdr:spPr>
    </xdr:sp>
    <xdr:clientData/>
  </xdr:twoCellAnchor>
  <xdr:twoCellAnchor>
    <xdr:from>
      <xdr:col>1</xdr:col>
      <xdr:colOff>666750</xdr:colOff>
      <xdr:row>28</xdr:row>
      <xdr:rowOff>0</xdr:rowOff>
    </xdr:from>
    <xdr:to>
      <xdr:col>22</xdr:col>
      <xdr:colOff>390525</xdr:colOff>
      <xdr:row>28</xdr:row>
      <xdr:rowOff>0</xdr:rowOff>
    </xdr:to>
    <xdr:graphicFrame macro="">
      <xdr:nvGraphicFramePr>
        <xdr:cNvPr id="1086" name="Chart 62">
          <a:extLst>
            <a:ext uri="{FF2B5EF4-FFF2-40B4-BE49-F238E27FC236}">
              <a16:creationId xmlns:a16="http://schemas.microsoft.com/office/drawing/2014/main" id="{00000000-0008-0000-0000-00003E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628650</xdr:colOff>
      <xdr:row>28</xdr:row>
      <xdr:rowOff>0</xdr:rowOff>
    </xdr:from>
    <xdr:to>
      <xdr:col>24</xdr:col>
      <xdr:colOff>361950</xdr:colOff>
      <xdr:row>28</xdr:row>
      <xdr:rowOff>0</xdr:rowOff>
    </xdr:to>
    <xdr:graphicFrame macro="">
      <xdr:nvGraphicFramePr>
        <xdr:cNvPr id="1087" name="Chart 63">
          <a:extLst>
            <a:ext uri="{FF2B5EF4-FFF2-40B4-BE49-F238E27FC236}">
              <a16:creationId xmlns:a16="http://schemas.microsoft.com/office/drawing/2014/main" id="{00000000-0008-0000-0000-00003F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590550</xdr:colOff>
      <xdr:row>28</xdr:row>
      <xdr:rowOff>0</xdr:rowOff>
    </xdr:from>
    <xdr:to>
      <xdr:col>25</xdr:col>
      <xdr:colOff>390525</xdr:colOff>
      <xdr:row>28</xdr:row>
      <xdr:rowOff>0</xdr:rowOff>
    </xdr:to>
    <xdr:graphicFrame macro="">
      <xdr:nvGraphicFramePr>
        <xdr:cNvPr id="1088" name="Chart 64">
          <a:extLst>
            <a:ext uri="{FF2B5EF4-FFF2-40B4-BE49-F238E27FC236}">
              <a16:creationId xmlns:a16="http://schemas.microsoft.com/office/drawing/2014/main" id="{00000000-0008-0000-0000-00004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666750</xdr:colOff>
      <xdr:row>28</xdr:row>
      <xdr:rowOff>0</xdr:rowOff>
    </xdr:from>
    <xdr:to>
      <xdr:col>22</xdr:col>
      <xdr:colOff>390525</xdr:colOff>
      <xdr:row>28</xdr:row>
      <xdr:rowOff>0</xdr:rowOff>
    </xdr:to>
    <xdr:graphicFrame macro="">
      <xdr:nvGraphicFramePr>
        <xdr:cNvPr id="1089" name="Chart 65">
          <a:extLst>
            <a:ext uri="{FF2B5EF4-FFF2-40B4-BE49-F238E27FC236}">
              <a16:creationId xmlns:a16="http://schemas.microsoft.com/office/drawing/2014/main" id="{00000000-0008-0000-0000-00004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29</xdr:row>
      <xdr:rowOff>0</xdr:rowOff>
    </xdr:from>
    <xdr:to>
      <xdr:col>1</xdr:col>
      <xdr:colOff>628650</xdr:colOff>
      <xdr:row>37</xdr:row>
      <xdr:rowOff>0</xdr:rowOff>
    </xdr:to>
    <xdr:sp macro="" textlink="">
      <xdr:nvSpPr>
        <xdr:cNvPr id="1090" name="テキスト 1">
          <a:extLst>
            <a:ext uri="{FF2B5EF4-FFF2-40B4-BE49-F238E27FC236}">
              <a16:creationId xmlns:a16="http://schemas.microsoft.com/office/drawing/2014/main" id="{00000000-0008-0000-0000-000042040000}"/>
            </a:ext>
          </a:extLst>
        </xdr:cNvPr>
        <xdr:cNvSpPr txBox="1">
          <a:spLocks noChangeArrowheads="1"/>
        </xdr:cNvSpPr>
      </xdr:nvSpPr>
      <xdr:spPr bwMode="auto">
        <a:xfrm>
          <a:off x="180975" y="4581525"/>
          <a:ext cx="628650" cy="1295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ＭＳ Ｐゴシック"/>
              <a:ea typeface="ＭＳ Ｐゴシック"/>
            </a:rPr>
            <a:t>Testing &amp; Quality</a:t>
          </a:r>
        </a:p>
        <a:p>
          <a:pPr algn="ctr" rtl="0">
            <a:defRPr sz="1000"/>
          </a:pPr>
          <a:r>
            <a:rPr lang="en-US" sz="900" b="0" i="0" u="none" strike="noStrike" baseline="0">
              <a:solidFill>
                <a:srgbClr val="000000"/>
              </a:solidFill>
              <a:latin typeface="ＭＳ Ｐゴシック"/>
              <a:ea typeface="ＭＳ Ｐゴシック"/>
            </a:rPr>
            <a:t>(Indicator: Test Case)</a:t>
          </a:r>
        </a:p>
      </xdr:txBody>
    </xdr:sp>
    <xdr:clientData/>
  </xdr:twoCellAnchor>
  <xdr:twoCellAnchor>
    <xdr:from>
      <xdr:col>1</xdr:col>
      <xdr:colOff>819150</xdr:colOff>
      <xdr:row>29</xdr:row>
      <xdr:rowOff>152400</xdr:rowOff>
    </xdr:from>
    <xdr:to>
      <xdr:col>33</xdr:col>
      <xdr:colOff>0</xdr:colOff>
      <xdr:row>37</xdr:row>
      <xdr:rowOff>85725</xdr:rowOff>
    </xdr:to>
    <xdr:graphicFrame macro="">
      <xdr:nvGraphicFramePr>
        <xdr:cNvPr id="1091" name="Chart 67">
          <a:extLst>
            <a:ext uri="{FF2B5EF4-FFF2-40B4-BE49-F238E27FC236}">
              <a16:creationId xmlns:a16="http://schemas.microsoft.com/office/drawing/2014/main" id="{00000000-0008-0000-0000-00004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373464</xdr:colOff>
      <xdr:row>28</xdr:row>
      <xdr:rowOff>172048</xdr:rowOff>
    </xdr:from>
    <xdr:to>
      <xdr:col>8</xdr:col>
      <xdr:colOff>373464</xdr:colOff>
      <xdr:row>47</xdr:row>
      <xdr:rowOff>154534</xdr:rowOff>
    </xdr:to>
    <xdr:sp macro="" textlink="">
      <xdr:nvSpPr>
        <xdr:cNvPr id="1092" name="Rectangle 68">
          <a:extLst>
            <a:ext uri="{FF2B5EF4-FFF2-40B4-BE49-F238E27FC236}">
              <a16:creationId xmlns:a16="http://schemas.microsoft.com/office/drawing/2014/main" id="{00000000-0008-0000-0000-000044040000}"/>
            </a:ext>
          </a:extLst>
        </xdr:cNvPr>
        <xdr:cNvSpPr>
          <a:spLocks noChangeArrowheads="1"/>
        </xdr:cNvSpPr>
      </xdr:nvSpPr>
      <xdr:spPr bwMode="auto">
        <a:xfrm>
          <a:off x="3659589" y="4547595"/>
          <a:ext cx="381000" cy="3054298"/>
        </a:xfrm>
        <a:prstGeom prst="rect">
          <a:avLst/>
        </a:prstGeom>
        <a:noFill/>
        <a:ln w="17145">
          <a:solidFill>
            <a:srgbClr val="FF0000"/>
          </a:solidFill>
          <a:miter lim="800000"/>
          <a:headEnd/>
          <a:tailEnd/>
        </a:ln>
      </xdr:spPr>
    </xdr:sp>
    <xdr:clientData/>
  </xdr:twoCellAnchor>
  <xdr:twoCellAnchor>
    <xdr:from>
      <xdr:col>0</xdr:col>
      <xdr:colOff>161192</xdr:colOff>
      <xdr:row>0</xdr:row>
      <xdr:rowOff>76200</xdr:rowOff>
    </xdr:from>
    <xdr:to>
      <xdr:col>20</xdr:col>
      <xdr:colOff>301869</xdr:colOff>
      <xdr:row>2</xdr:row>
      <xdr:rowOff>66675</xdr:rowOff>
    </xdr:to>
    <xdr:sp macro="" textlink="">
      <xdr:nvSpPr>
        <xdr:cNvPr id="1094" name="テキスト 12">
          <a:extLst>
            <a:ext uri="{FF2B5EF4-FFF2-40B4-BE49-F238E27FC236}">
              <a16:creationId xmlns:a16="http://schemas.microsoft.com/office/drawing/2014/main" id="{00000000-0008-0000-0000-000046040000}"/>
            </a:ext>
          </a:extLst>
        </xdr:cNvPr>
        <xdr:cNvSpPr>
          <a:spLocks noChangeArrowheads="1"/>
        </xdr:cNvSpPr>
      </xdr:nvSpPr>
      <xdr:spPr bwMode="auto">
        <a:xfrm>
          <a:off x="161192" y="76200"/>
          <a:ext cx="8442081" cy="298206"/>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45720" tIns="32004" rIns="0" bIns="32004" anchor="ctr" upright="1"/>
        <a:lstStyle/>
        <a:p>
          <a:pPr algn="l" rtl="0">
            <a:defRPr sz="1000"/>
          </a:pPr>
          <a:r>
            <a:rPr lang="en-US" sz="1600" b="1" i="0" u="none" strike="noStrike" baseline="0">
              <a:solidFill>
                <a:srgbClr val="000000"/>
              </a:solidFill>
              <a:latin typeface="Microsoft Sans Serif"/>
              <a:cs typeface="Microsoft Sans Serif"/>
            </a:rPr>
            <a:t>TMT: TBOS</a:t>
          </a:r>
        </a:p>
      </xdr:txBody>
    </xdr:sp>
    <xdr:clientData/>
  </xdr:twoCellAnchor>
  <xdr:twoCellAnchor>
    <xdr:from>
      <xdr:col>1</xdr:col>
      <xdr:colOff>19050</xdr:colOff>
      <xdr:row>49</xdr:row>
      <xdr:rowOff>123825</xdr:rowOff>
    </xdr:from>
    <xdr:to>
      <xdr:col>4</xdr:col>
      <xdr:colOff>276225</xdr:colOff>
      <xdr:row>50</xdr:row>
      <xdr:rowOff>133350</xdr:rowOff>
    </xdr:to>
    <xdr:sp macro="" textlink="">
      <xdr:nvSpPr>
        <xdr:cNvPr id="1102" name="Text Box 78">
          <a:extLst>
            <a:ext uri="{FF2B5EF4-FFF2-40B4-BE49-F238E27FC236}">
              <a16:creationId xmlns:a16="http://schemas.microsoft.com/office/drawing/2014/main" id="{00000000-0008-0000-0000-00004E040000}"/>
            </a:ext>
          </a:extLst>
        </xdr:cNvPr>
        <xdr:cNvSpPr txBox="1">
          <a:spLocks noChangeArrowheads="1"/>
        </xdr:cNvSpPr>
      </xdr:nvSpPr>
      <xdr:spPr bwMode="auto">
        <a:xfrm>
          <a:off x="200025" y="7867650"/>
          <a:ext cx="2219325" cy="1619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&lt;Progress Status&gt;</a:t>
          </a:r>
        </a:p>
      </xdr:txBody>
    </xdr:sp>
    <xdr:clientData/>
  </xdr:twoCellAnchor>
  <xdr:twoCellAnchor>
    <xdr:from>
      <xdr:col>4</xdr:col>
      <xdr:colOff>0</xdr:colOff>
      <xdr:row>4</xdr:row>
      <xdr:rowOff>0</xdr:rowOff>
    </xdr:from>
    <xdr:to>
      <xdr:col>27</xdr:col>
      <xdr:colOff>323850</xdr:colOff>
      <xdr:row>5</xdr:row>
      <xdr:rowOff>47625</xdr:rowOff>
    </xdr:to>
    <xdr:sp macro="" textlink="">
      <xdr:nvSpPr>
        <xdr:cNvPr id="1103" name="テキスト 84">
          <a:extLst>
            <a:ext uri="{FF2B5EF4-FFF2-40B4-BE49-F238E27FC236}">
              <a16:creationId xmlns:a16="http://schemas.microsoft.com/office/drawing/2014/main" id="{00000000-0008-0000-0000-00004F040000}"/>
            </a:ext>
          </a:extLst>
        </xdr:cNvPr>
        <xdr:cNvSpPr txBox="1">
          <a:spLocks noChangeArrowheads="1"/>
        </xdr:cNvSpPr>
      </xdr:nvSpPr>
      <xdr:spPr bwMode="auto">
        <a:xfrm>
          <a:off x="2143125" y="523875"/>
          <a:ext cx="9144000" cy="209550"/>
        </a:xfrm>
        <a:prstGeom prst="rect">
          <a:avLst/>
        </a:prstGeom>
        <a:solidFill>
          <a:srgbClr val="FFFFFF"/>
        </a:solidFill>
        <a:ln w="9525">
          <a:solidFill>
            <a:srgbClr val="000000"/>
          </a:solidFill>
          <a:miter lim="800000"/>
          <a:headEnd/>
          <a:tailEnd/>
        </a:ln>
      </xdr:spPr>
      <xdr:txBody>
        <a:bodyPr vertOverflow="clip" wrap="square" lIns="36576" tIns="18288" rIns="36576" bIns="0" anchor="t" upright="1"/>
        <a:lstStyle/>
        <a:p>
          <a:pPr algn="ctr" rtl="0">
            <a:defRPr sz="1000"/>
          </a:pPr>
          <a:r>
            <a:rPr lang="en-US" sz="1200" b="1" i="0" u="none" strike="noStrike" baseline="0">
              <a:solidFill>
                <a:srgbClr val="000000"/>
              </a:solidFill>
              <a:latin typeface="ＭＳ Ｐゴシック"/>
              <a:ea typeface="ＭＳ Ｐゴシック"/>
            </a:rPr>
            <a:t>Programming and Unit Test (PU)</a:t>
          </a:r>
        </a:p>
      </xdr:txBody>
    </xdr:sp>
    <xdr:clientData/>
  </xdr:twoCellAnchor>
  <xdr:twoCellAnchor>
    <xdr:from>
      <xdr:col>12</xdr:col>
      <xdr:colOff>314325</xdr:colOff>
      <xdr:row>13</xdr:row>
      <xdr:rowOff>0</xdr:rowOff>
    </xdr:from>
    <xdr:to>
      <xdr:col>22</xdr:col>
      <xdr:colOff>9525</xdr:colOff>
      <xdr:row>13</xdr:row>
      <xdr:rowOff>142875</xdr:rowOff>
    </xdr:to>
    <xdr:sp macro="" textlink="">
      <xdr:nvSpPr>
        <xdr:cNvPr id="1104" name="Text Box 80">
          <a:extLst>
            <a:ext uri="{FF2B5EF4-FFF2-40B4-BE49-F238E27FC236}">
              <a16:creationId xmlns:a16="http://schemas.microsoft.com/office/drawing/2014/main" id="{00000000-0008-0000-0000-000050040000}"/>
            </a:ext>
          </a:extLst>
        </xdr:cNvPr>
        <xdr:cNvSpPr txBox="1">
          <a:spLocks noChangeArrowheads="1"/>
        </xdr:cNvSpPr>
      </xdr:nvSpPr>
      <xdr:spPr bwMode="auto">
        <a:xfrm>
          <a:off x="5505450" y="1933575"/>
          <a:ext cx="3562350" cy="142875"/>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800" b="0" i="0" u="none" strike="noStrike" baseline="0">
              <a:solidFill>
                <a:srgbClr val="000000"/>
              </a:solidFill>
              <a:latin typeface="Arial"/>
              <a:cs typeface="Arial"/>
            </a:rPr>
            <a:t>Start : Finish : Tested = 1 : 1 : 1</a:t>
          </a:r>
        </a:p>
      </xdr:txBody>
    </xdr:sp>
    <xdr:clientData/>
  </xdr:twoCellAnchor>
  <xdr:twoCellAnchor>
    <xdr:from>
      <xdr:col>1</xdr:col>
      <xdr:colOff>838200</xdr:colOff>
      <xdr:row>49</xdr:row>
      <xdr:rowOff>0</xdr:rowOff>
    </xdr:from>
    <xdr:to>
      <xdr:col>31</xdr:col>
      <xdr:colOff>333375</xdr:colOff>
      <xdr:row>49</xdr:row>
      <xdr:rowOff>0</xdr:rowOff>
    </xdr:to>
    <xdr:graphicFrame macro="">
      <xdr:nvGraphicFramePr>
        <xdr:cNvPr id="1149" name="Chart 125">
          <a:extLst>
            <a:ext uri="{FF2B5EF4-FFF2-40B4-BE49-F238E27FC236}">
              <a16:creationId xmlns:a16="http://schemas.microsoft.com/office/drawing/2014/main" id="{00000000-0008-0000-0000-00007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twoCellAnchor>
  <xdr:twoCellAnchor>
    <xdr:from>
      <xdr:col>1</xdr:col>
      <xdr:colOff>628650</xdr:colOff>
      <xdr:row>49</xdr:row>
      <xdr:rowOff>0</xdr:rowOff>
    </xdr:from>
    <xdr:to>
      <xdr:col>24</xdr:col>
      <xdr:colOff>361950</xdr:colOff>
      <xdr:row>49</xdr:row>
      <xdr:rowOff>0</xdr:rowOff>
    </xdr:to>
    <xdr:graphicFrame macro="">
      <xdr:nvGraphicFramePr>
        <xdr:cNvPr id="1150" name="Chart 126">
          <a:extLst>
            <a:ext uri="{FF2B5EF4-FFF2-40B4-BE49-F238E27FC236}">
              <a16:creationId xmlns:a16="http://schemas.microsoft.com/office/drawing/2014/main" id="{00000000-0008-0000-0000-00007E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590550</xdr:colOff>
      <xdr:row>49</xdr:row>
      <xdr:rowOff>0</xdr:rowOff>
    </xdr:from>
    <xdr:to>
      <xdr:col>25</xdr:col>
      <xdr:colOff>390525</xdr:colOff>
      <xdr:row>49</xdr:row>
      <xdr:rowOff>0</xdr:rowOff>
    </xdr:to>
    <xdr:graphicFrame macro="">
      <xdr:nvGraphicFramePr>
        <xdr:cNvPr id="1151" name="Chart 127">
          <a:extLst>
            <a:ext uri="{FF2B5EF4-FFF2-40B4-BE49-F238E27FC236}">
              <a16:creationId xmlns:a16="http://schemas.microsoft.com/office/drawing/2014/main" id="{00000000-0008-0000-0000-00007F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666750</xdr:colOff>
      <xdr:row>49</xdr:row>
      <xdr:rowOff>0</xdr:rowOff>
    </xdr:from>
    <xdr:to>
      <xdr:col>22</xdr:col>
      <xdr:colOff>390525</xdr:colOff>
      <xdr:row>49</xdr:row>
      <xdr:rowOff>0</xdr:rowOff>
    </xdr:to>
    <xdr:graphicFrame macro="">
      <xdr:nvGraphicFramePr>
        <xdr:cNvPr id="1152" name="Chart 128">
          <a:extLst>
            <a:ext uri="{FF2B5EF4-FFF2-40B4-BE49-F238E27FC236}">
              <a16:creationId xmlns:a16="http://schemas.microsoft.com/office/drawing/2014/main" id="{00000000-0008-0000-0000-00008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628650</xdr:colOff>
      <xdr:row>49</xdr:row>
      <xdr:rowOff>0</xdr:rowOff>
    </xdr:from>
    <xdr:to>
      <xdr:col>24</xdr:col>
      <xdr:colOff>361950</xdr:colOff>
      <xdr:row>49</xdr:row>
      <xdr:rowOff>0</xdr:rowOff>
    </xdr:to>
    <xdr:graphicFrame macro="">
      <xdr:nvGraphicFramePr>
        <xdr:cNvPr id="1153" name="Chart 129">
          <a:extLst>
            <a:ext uri="{FF2B5EF4-FFF2-40B4-BE49-F238E27FC236}">
              <a16:creationId xmlns:a16="http://schemas.microsoft.com/office/drawing/2014/main" id="{00000000-0008-0000-0000-00008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590550</xdr:colOff>
      <xdr:row>49</xdr:row>
      <xdr:rowOff>0</xdr:rowOff>
    </xdr:from>
    <xdr:to>
      <xdr:col>25</xdr:col>
      <xdr:colOff>390525</xdr:colOff>
      <xdr:row>49</xdr:row>
      <xdr:rowOff>0</xdr:rowOff>
    </xdr:to>
    <xdr:graphicFrame macro="">
      <xdr:nvGraphicFramePr>
        <xdr:cNvPr id="1154" name="Chart 130">
          <a:extLst>
            <a:ext uri="{FF2B5EF4-FFF2-40B4-BE49-F238E27FC236}">
              <a16:creationId xmlns:a16="http://schemas.microsoft.com/office/drawing/2014/main" id="{00000000-0008-0000-0000-000082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666750</xdr:colOff>
      <xdr:row>49</xdr:row>
      <xdr:rowOff>0</xdr:rowOff>
    </xdr:from>
    <xdr:to>
      <xdr:col>22</xdr:col>
      <xdr:colOff>390525</xdr:colOff>
      <xdr:row>49</xdr:row>
      <xdr:rowOff>0</xdr:rowOff>
    </xdr:to>
    <xdr:graphicFrame macro="">
      <xdr:nvGraphicFramePr>
        <xdr:cNvPr id="1155" name="Chart 131">
          <a:extLst>
            <a:ext uri="{FF2B5EF4-FFF2-40B4-BE49-F238E27FC236}">
              <a16:creationId xmlns:a16="http://schemas.microsoft.com/office/drawing/2014/main" id="{00000000-0008-0000-0000-00008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28</xdr:col>
      <xdr:colOff>66675</xdr:colOff>
      <xdr:row>1</xdr:row>
      <xdr:rowOff>104775</xdr:rowOff>
    </xdr:from>
    <xdr:to>
      <xdr:col>33</xdr:col>
      <xdr:colOff>28575</xdr:colOff>
      <xdr:row>6</xdr:row>
      <xdr:rowOff>142875</xdr:rowOff>
    </xdr:to>
    <xdr:grpSp>
      <xdr:nvGrpSpPr>
        <xdr:cNvPr id="1157" name="Group 133">
          <a:extLst>
            <a:ext uri="{FF2B5EF4-FFF2-40B4-BE49-F238E27FC236}">
              <a16:creationId xmlns:a16="http://schemas.microsoft.com/office/drawing/2014/main" id="{00000000-0008-0000-0000-000085040000}"/>
            </a:ext>
          </a:extLst>
        </xdr:cNvPr>
        <xdr:cNvGrpSpPr>
          <a:grpSpLocks/>
        </xdr:cNvGrpSpPr>
      </xdr:nvGrpSpPr>
      <xdr:grpSpPr bwMode="auto">
        <a:xfrm>
          <a:off x="12284951" y="265715"/>
          <a:ext cx="2014702" cy="724557"/>
          <a:chOff x="932" y="15"/>
          <a:chExt cx="196" cy="76"/>
        </a:xfrm>
      </xdr:grpSpPr>
      <xdr:sp macro="" textlink="">
        <xdr:nvSpPr>
          <xdr:cNvPr id="1158" name="Text Box 134">
            <a:extLst>
              <a:ext uri="{FF2B5EF4-FFF2-40B4-BE49-F238E27FC236}">
                <a16:creationId xmlns:a16="http://schemas.microsoft.com/office/drawing/2014/main" id="{00000000-0008-0000-0000-000086040000}"/>
              </a:ext>
            </a:extLst>
          </xdr:cNvPr>
          <xdr:cNvSpPr txBox="1">
            <a:spLocks noChangeArrowheads="1"/>
          </xdr:cNvSpPr>
        </xdr:nvSpPr>
        <xdr:spPr bwMode="auto">
          <a:xfrm>
            <a:off x="932" y="15"/>
            <a:ext cx="93" cy="21"/>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Vendor PIC</a:t>
            </a:r>
          </a:p>
        </xdr:txBody>
      </xdr:sp>
      <xdr:sp macro="" textlink="">
        <xdr:nvSpPr>
          <xdr:cNvPr id="1159" name="Text Box 135">
            <a:extLst>
              <a:ext uri="{FF2B5EF4-FFF2-40B4-BE49-F238E27FC236}">
                <a16:creationId xmlns:a16="http://schemas.microsoft.com/office/drawing/2014/main" id="{00000000-0008-0000-0000-000087040000}"/>
              </a:ext>
            </a:extLst>
          </xdr:cNvPr>
          <xdr:cNvSpPr txBox="1">
            <a:spLocks noChangeArrowheads="1"/>
          </xdr:cNvSpPr>
        </xdr:nvSpPr>
        <xdr:spPr bwMode="auto">
          <a:xfrm>
            <a:off x="1025" y="15"/>
            <a:ext cx="103" cy="21"/>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ISD PIC</a:t>
            </a:r>
          </a:p>
        </xdr:txBody>
      </xdr:sp>
      <xdr:sp macro="" textlink="">
        <xdr:nvSpPr>
          <xdr:cNvPr id="1160" name="Rectangle 136">
            <a:extLst>
              <a:ext uri="{FF2B5EF4-FFF2-40B4-BE49-F238E27FC236}">
                <a16:creationId xmlns:a16="http://schemas.microsoft.com/office/drawing/2014/main" id="{00000000-0008-0000-0000-000088040000}"/>
              </a:ext>
            </a:extLst>
          </xdr:cNvPr>
          <xdr:cNvSpPr>
            <a:spLocks noChangeArrowheads="1"/>
          </xdr:cNvSpPr>
        </xdr:nvSpPr>
        <xdr:spPr bwMode="auto">
          <a:xfrm>
            <a:off x="932" y="35"/>
            <a:ext cx="196" cy="38"/>
          </a:xfrm>
          <a:prstGeom prst="rect">
            <a:avLst/>
          </a:prstGeom>
          <a:solidFill>
            <a:srgbClr val="FFFFFF"/>
          </a:solidFill>
          <a:ln w="9525">
            <a:solidFill>
              <a:srgbClr val="000000"/>
            </a:solidFill>
            <a:miter lim="800000"/>
            <a:headEnd/>
            <a:tailEnd/>
          </a:ln>
        </xdr:spPr>
        <xdr:txBody>
          <a:bodyPr/>
          <a:lstStyle/>
          <a:p>
            <a:r>
              <a:rPr lang="en-US"/>
              <a:t>Kanphong            Sunon</a:t>
            </a:r>
          </a:p>
        </xdr:txBody>
      </xdr:sp>
      <xdr:sp macro="" textlink="">
        <xdr:nvSpPr>
          <xdr:cNvPr id="1161" name="Rectangle 137">
            <a:extLst>
              <a:ext uri="{FF2B5EF4-FFF2-40B4-BE49-F238E27FC236}">
                <a16:creationId xmlns:a16="http://schemas.microsoft.com/office/drawing/2014/main" id="{00000000-0008-0000-0000-000089040000}"/>
              </a:ext>
            </a:extLst>
          </xdr:cNvPr>
          <xdr:cNvSpPr>
            <a:spLocks noChangeArrowheads="1"/>
          </xdr:cNvSpPr>
        </xdr:nvSpPr>
        <xdr:spPr bwMode="auto">
          <a:xfrm>
            <a:off x="932" y="73"/>
            <a:ext cx="196" cy="18"/>
          </a:xfrm>
          <a:prstGeom prst="rect">
            <a:avLst/>
          </a:prstGeom>
          <a:solidFill>
            <a:srgbClr val="FFFFFF"/>
          </a:solidFill>
          <a:ln w="9525">
            <a:solidFill>
              <a:srgbClr val="000000"/>
            </a:solidFill>
            <a:miter lim="800000"/>
            <a:headEnd/>
            <a:tailEnd/>
          </a:ln>
        </xdr:spPr>
      </xdr:sp>
      <xdr:sp macro="" textlink="">
        <xdr:nvSpPr>
          <xdr:cNvPr id="1162" name="Line 138">
            <a:extLst>
              <a:ext uri="{FF2B5EF4-FFF2-40B4-BE49-F238E27FC236}">
                <a16:creationId xmlns:a16="http://schemas.microsoft.com/office/drawing/2014/main" id="{00000000-0008-0000-0000-00008A040000}"/>
              </a:ext>
            </a:extLst>
          </xdr:cNvPr>
          <xdr:cNvSpPr>
            <a:spLocks noChangeShapeType="1"/>
          </xdr:cNvSpPr>
        </xdr:nvSpPr>
        <xdr:spPr bwMode="auto">
          <a:xfrm>
            <a:off x="1025" y="33"/>
            <a:ext cx="0" cy="58"/>
          </a:xfrm>
          <a:prstGeom prst="line">
            <a:avLst/>
          </a:prstGeom>
          <a:noFill/>
          <a:ln w="9525">
            <a:solidFill>
              <a:srgbClr val="000000"/>
            </a:solidFill>
            <a:round/>
            <a:headEnd/>
            <a:tailEnd/>
          </a:ln>
        </xdr:spPr>
      </xdr:sp>
    </xdr:grpSp>
    <xdr:clientData/>
  </xdr:twoCellAnchor>
  <xdr:twoCellAnchor>
    <xdr:from>
      <xdr:col>3</xdr:col>
      <xdr:colOff>146539</xdr:colOff>
      <xdr:row>7</xdr:row>
      <xdr:rowOff>36635</xdr:rowOff>
    </xdr:from>
    <xdr:to>
      <xdr:col>6</xdr:col>
      <xdr:colOff>381000</xdr:colOff>
      <xdr:row>7</xdr:row>
      <xdr:rowOff>124558</xdr:rowOff>
    </xdr:to>
    <xdr:sp macro="" textlink="">
      <xdr:nvSpPr>
        <xdr:cNvPr id="5" name="Rectangle 4">
          <a:extLst>
            <a:ext uri="{FF2B5EF4-FFF2-40B4-BE49-F238E27FC236}">
              <a16:creationId xmlns:a16="http://schemas.microsoft.com/office/drawing/2014/main" id="{B4D1FB61-CDB3-571E-8910-B5BFA745BF1D}"/>
            </a:ext>
          </a:extLst>
        </xdr:cNvPr>
        <xdr:cNvSpPr/>
      </xdr:nvSpPr>
      <xdr:spPr bwMode="auto">
        <a:xfrm>
          <a:off x="1912327" y="1077058"/>
          <a:ext cx="1377461" cy="87923"/>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900"/>
            <a:t>DR</a:t>
          </a:r>
          <a:endParaRPr lang="en-US" sz="1100"/>
        </a:p>
      </xdr:txBody>
    </xdr:sp>
    <xdr:clientData/>
  </xdr:twoCellAnchor>
  <xdr:twoCellAnchor>
    <xdr:from>
      <xdr:col>6</xdr:col>
      <xdr:colOff>379535</xdr:colOff>
      <xdr:row>7</xdr:row>
      <xdr:rowOff>86459</xdr:rowOff>
    </xdr:from>
    <xdr:to>
      <xdr:col>12</xdr:col>
      <xdr:colOff>7327</xdr:colOff>
      <xdr:row>8</xdr:row>
      <xdr:rowOff>14655</xdr:rowOff>
    </xdr:to>
    <xdr:sp macro="" textlink="">
      <xdr:nvSpPr>
        <xdr:cNvPr id="6" name="Rectangle 5">
          <a:extLst>
            <a:ext uri="{FF2B5EF4-FFF2-40B4-BE49-F238E27FC236}">
              <a16:creationId xmlns:a16="http://schemas.microsoft.com/office/drawing/2014/main" id="{032D4F1F-217B-45E1-A4C4-B532B348FA50}"/>
            </a:ext>
          </a:extLst>
        </xdr:cNvPr>
        <xdr:cNvSpPr/>
      </xdr:nvSpPr>
      <xdr:spPr bwMode="auto">
        <a:xfrm>
          <a:off x="3288323" y="1126882"/>
          <a:ext cx="1913792" cy="89388"/>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900"/>
            <a:t>PU</a:t>
          </a:r>
          <a:endParaRPr lang="en-US" sz="1100"/>
        </a:p>
      </xdr:txBody>
    </xdr:sp>
    <xdr:clientData/>
  </xdr:twoCellAnchor>
  <xdr:twoCellAnchor>
    <xdr:from>
      <xdr:col>8</xdr:col>
      <xdr:colOff>357501</xdr:colOff>
      <xdr:row>6</xdr:row>
      <xdr:rowOff>153510</xdr:rowOff>
    </xdr:from>
    <xdr:to>
      <xdr:col>11</xdr:col>
      <xdr:colOff>79079</xdr:colOff>
      <xdr:row>15</xdr:row>
      <xdr:rowOff>38534</xdr:rowOff>
    </xdr:to>
    <xdr:grpSp>
      <xdr:nvGrpSpPr>
        <xdr:cNvPr id="4" name="Group 3">
          <a:extLst>
            <a:ext uri="{FF2B5EF4-FFF2-40B4-BE49-F238E27FC236}">
              <a16:creationId xmlns:a16="http://schemas.microsoft.com/office/drawing/2014/main" id="{5987738B-D3FB-6EAD-E38D-B8608D62B839}"/>
            </a:ext>
          </a:extLst>
        </xdr:cNvPr>
        <xdr:cNvGrpSpPr/>
      </xdr:nvGrpSpPr>
      <xdr:grpSpPr>
        <a:xfrm>
          <a:off x="4302165" y="1000907"/>
          <a:ext cx="953259" cy="1326912"/>
          <a:chOff x="2007576" y="1147396"/>
          <a:chExt cx="864578" cy="1015511"/>
        </a:xfrm>
      </xdr:grpSpPr>
      <xdr:grpSp>
        <xdr:nvGrpSpPr>
          <xdr:cNvPr id="2" name="Group 1">
            <a:extLst>
              <a:ext uri="{FF2B5EF4-FFF2-40B4-BE49-F238E27FC236}">
                <a16:creationId xmlns:a16="http://schemas.microsoft.com/office/drawing/2014/main" id="{27DE8EA4-7791-AAA2-8C77-2B05BDFB0532}"/>
              </a:ext>
            </a:extLst>
          </xdr:cNvPr>
          <xdr:cNvGrpSpPr/>
        </xdr:nvGrpSpPr>
        <xdr:grpSpPr>
          <a:xfrm rot="10800000">
            <a:off x="2007576" y="1147396"/>
            <a:ext cx="800100" cy="1015511"/>
            <a:chOff x="8206154" y="803031"/>
            <a:chExt cx="800100" cy="1015511"/>
          </a:xfrm>
        </xdr:grpSpPr>
        <xdr:sp macro="" textlink="">
          <xdr:nvSpPr>
            <xdr:cNvPr id="1147" name="AutoShape 123">
              <a:extLst>
                <a:ext uri="{FF2B5EF4-FFF2-40B4-BE49-F238E27FC236}">
                  <a16:creationId xmlns:a16="http://schemas.microsoft.com/office/drawing/2014/main" id="{00000000-0008-0000-0000-00007B040000}"/>
                </a:ext>
              </a:extLst>
            </xdr:cNvPr>
            <xdr:cNvSpPr>
              <a:spLocks noChangeArrowheads="1"/>
            </xdr:cNvSpPr>
          </xdr:nvSpPr>
          <xdr:spPr bwMode="auto">
            <a:xfrm>
              <a:off x="8206154" y="803031"/>
              <a:ext cx="800100" cy="323117"/>
            </a:xfrm>
            <a:prstGeom prst="flowChartDecision">
              <a:avLst/>
            </a:prstGeom>
            <a:solidFill>
              <a:srgbClr val="FFFFFF"/>
            </a:solidFill>
            <a:ln w="9525">
              <a:solidFill>
                <a:srgbClr val="FF0000"/>
              </a:solidFill>
              <a:miter lim="800000"/>
              <a:headEnd/>
              <a:tailEnd/>
            </a:ln>
          </xdr:spPr>
          <xdr:txBody>
            <a:bodyPr/>
            <a:lstStyle/>
            <a:p>
              <a:endParaRPr lang="en-US"/>
            </a:p>
          </xdr:txBody>
        </xdr:sp>
        <xdr:sp macro="" textlink="">
          <xdr:nvSpPr>
            <xdr:cNvPr id="1148" name="Line 124">
              <a:extLst>
                <a:ext uri="{FF2B5EF4-FFF2-40B4-BE49-F238E27FC236}">
                  <a16:creationId xmlns:a16="http://schemas.microsoft.com/office/drawing/2014/main" id="{00000000-0008-0000-0000-00007C040000}"/>
                </a:ext>
              </a:extLst>
            </xdr:cNvPr>
            <xdr:cNvSpPr>
              <a:spLocks noChangeShapeType="1"/>
            </xdr:cNvSpPr>
          </xdr:nvSpPr>
          <xdr:spPr bwMode="auto">
            <a:xfrm>
              <a:off x="8606204" y="1135673"/>
              <a:ext cx="0" cy="682869"/>
            </a:xfrm>
            <a:prstGeom prst="line">
              <a:avLst/>
            </a:prstGeom>
            <a:noFill/>
            <a:ln w="9525">
              <a:solidFill>
                <a:srgbClr val="FF0000"/>
              </a:solidFill>
              <a:round/>
              <a:headEnd/>
              <a:tailEnd/>
            </a:ln>
          </xdr:spPr>
        </xdr:sp>
      </xdr:grpSp>
      <xdr:sp macro="" textlink="">
        <xdr:nvSpPr>
          <xdr:cNvPr id="3" name="TextBox 2">
            <a:extLst>
              <a:ext uri="{FF2B5EF4-FFF2-40B4-BE49-F238E27FC236}">
                <a16:creationId xmlns:a16="http://schemas.microsoft.com/office/drawing/2014/main" id="{D7D80C6B-04FA-8EAE-F384-BD9C43271DDF}"/>
              </a:ext>
            </a:extLst>
          </xdr:cNvPr>
          <xdr:cNvSpPr txBox="1"/>
        </xdr:nvSpPr>
        <xdr:spPr>
          <a:xfrm>
            <a:off x="2102827" y="1868365"/>
            <a:ext cx="769327" cy="219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Oct</a:t>
            </a:r>
          </a:p>
        </xdr:txBody>
      </xdr:sp>
    </xdr:grpSp>
    <xdr:clientData/>
  </xdr:twoCellAnchor>
  <xdr:twoCellAnchor>
    <xdr:from>
      <xdr:col>11</xdr:col>
      <xdr:colOff>305502</xdr:colOff>
      <xdr:row>8</xdr:row>
      <xdr:rowOff>25167</xdr:rowOff>
    </xdr:from>
    <xdr:to>
      <xdr:col>13</xdr:col>
      <xdr:colOff>314740</xdr:colOff>
      <xdr:row>8</xdr:row>
      <xdr:rowOff>124240</xdr:rowOff>
    </xdr:to>
    <xdr:sp macro="" textlink="">
      <xdr:nvSpPr>
        <xdr:cNvPr id="7" name="Rectangle 6">
          <a:extLst>
            <a:ext uri="{FF2B5EF4-FFF2-40B4-BE49-F238E27FC236}">
              <a16:creationId xmlns:a16="http://schemas.microsoft.com/office/drawing/2014/main" id="{7228C27A-14D8-4B0B-AD2C-1A6800C0A2AA}"/>
            </a:ext>
          </a:extLst>
        </xdr:cNvPr>
        <xdr:cNvSpPr/>
      </xdr:nvSpPr>
      <xdr:spPr bwMode="auto">
        <a:xfrm>
          <a:off x="5117698" y="1242710"/>
          <a:ext cx="771238" cy="99073"/>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900"/>
            <a:t>IFT</a:t>
          </a:r>
          <a:endParaRPr lang="en-US" sz="1100"/>
        </a:p>
      </xdr:txBody>
    </xdr:sp>
    <xdr:clientData/>
  </xdr:twoCellAnchor>
  <xdr:twoCellAnchor>
    <xdr:from>
      <xdr:col>13</xdr:col>
      <xdr:colOff>317097</xdr:colOff>
      <xdr:row>8</xdr:row>
      <xdr:rowOff>127872</xdr:rowOff>
    </xdr:from>
    <xdr:to>
      <xdr:col>15</xdr:col>
      <xdr:colOff>326335</xdr:colOff>
      <xdr:row>9</xdr:row>
      <xdr:rowOff>61292</xdr:rowOff>
    </xdr:to>
    <xdr:sp macro="" textlink="">
      <xdr:nvSpPr>
        <xdr:cNvPr id="8" name="Rectangle 7">
          <a:extLst>
            <a:ext uri="{FF2B5EF4-FFF2-40B4-BE49-F238E27FC236}">
              <a16:creationId xmlns:a16="http://schemas.microsoft.com/office/drawing/2014/main" id="{DA497AAA-426E-48C9-94E0-F88A3AD15805}"/>
            </a:ext>
          </a:extLst>
        </xdr:cNvPr>
        <xdr:cNvSpPr/>
      </xdr:nvSpPr>
      <xdr:spPr bwMode="auto">
        <a:xfrm>
          <a:off x="5891293" y="1345415"/>
          <a:ext cx="771238" cy="99073"/>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900"/>
            <a:t>BCT</a:t>
          </a:r>
          <a:endParaRPr lang="en-US" sz="1100"/>
        </a:p>
      </xdr:txBody>
    </xdr:sp>
    <xdr:clientData/>
  </xdr:twoCellAnchor>
  <xdr:twoCellAnchor>
    <xdr:from>
      <xdr:col>15</xdr:col>
      <xdr:colOff>312127</xdr:colOff>
      <xdr:row>9</xdr:row>
      <xdr:rowOff>64923</xdr:rowOff>
    </xdr:from>
    <xdr:to>
      <xdr:col>16</xdr:col>
      <xdr:colOff>364435</xdr:colOff>
      <xdr:row>10</xdr:row>
      <xdr:rowOff>0</xdr:rowOff>
    </xdr:to>
    <xdr:sp macro="" textlink="">
      <xdr:nvSpPr>
        <xdr:cNvPr id="9" name="Rectangle 8">
          <a:extLst>
            <a:ext uri="{FF2B5EF4-FFF2-40B4-BE49-F238E27FC236}">
              <a16:creationId xmlns:a16="http://schemas.microsoft.com/office/drawing/2014/main" id="{A3605D56-71A3-4628-A465-CFE742819546}"/>
            </a:ext>
          </a:extLst>
        </xdr:cNvPr>
        <xdr:cNvSpPr/>
      </xdr:nvSpPr>
      <xdr:spPr bwMode="auto">
        <a:xfrm>
          <a:off x="6648323" y="1448119"/>
          <a:ext cx="491286" cy="100729"/>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900"/>
            <a:t>BCT-IS</a:t>
          </a:r>
          <a:endParaRPr lang="en-US" sz="1100"/>
        </a:p>
      </xdr:txBody>
    </xdr:sp>
    <xdr:clientData/>
  </xdr:twoCellAnchor>
  <xdr:twoCellAnchor>
    <xdr:from>
      <xdr:col>16</xdr:col>
      <xdr:colOff>373418</xdr:colOff>
      <xdr:row>9</xdr:row>
      <xdr:rowOff>159344</xdr:rowOff>
    </xdr:from>
    <xdr:to>
      <xdr:col>17</xdr:col>
      <xdr:colOff>190500</xdr:colOff>
      <xdr:row>10</xdr:row>
      <xdr:rowOff>91109</xdr:rowOff>
    </xdr:to>
    <xdr:sp macro="" textlink="">
      <xdr:nvSpPr>
        <xdr:cNvPr id="10" name="Rectangle 9">
          <a:extLst>
            <a:ext uri="{FF2B5EF4-FFF2-40B4-BE49-F238E27FC236}">
              <a16:creationId xmlns:a16="http://schemas.microsoft.com/office/drawing/2014/main" id="{23CD832C-43B9-42C6-BB24-FDF7C252C3B3}"/>
            </a:ext>
          </a:extLst>
        </xdr:cNvPr>
        <xdr:cNvSpPr/>
      </xdr:nvSpPr>
      <xdr:spPr bwMode="auto">
        <a:xfrm>
          <a:off x="7148592" y="1542540"/>
          <a:ext cx="198082" cy="97417"/>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900"/>
            <a:t>SIT</a:t>
          </a:r>
          <a:endParaRPr lang="en-US" sz="1100"/>
        </a:p>
      </xdr:txBody>
    </xdr:sp>
    <xdr:clientData/>
  </xdr:twoCellAnchor>
  <xdr:twoCellAnchor>
    <xdr:from>
      <xdr:col>17</xdr:col>
      <xdr:colOff>202796</xdr:colOff>
      <xdr:row>10</xdr:row>
      <xdr:rowOff>96399</xdr:rowOff>
    </xdr:from>
    <xdr:to>
      <xdr:col>19</xdr:col>
      <xdr:colOff>4330</xdr:colOff>
      <xdr:row>11</xdr:row>
      <xdr:rowOff>12990</xdr:rowOff>
    </xdr:to>
    <xdr:sp macro="" textlink="">
      <xdr:nvSpPr>
        <xdr:cNvPr id="11" name="Rectangle 10">
          <a:extLst>
            <a:ext uri="{FF2B5EF4-FFF2-40B4-BE49-F238E27FC236}">
              <a16:creationId xmlns:a16="http://schemas.microsoft.com/office/drawing/2014/main" id="{C2302605-472A-4DBE-A1C5-C983BDFFC076}"/>
            </a:ext>
          </a:extLst>
        </xdr:cNvPr>
        <xdr:cNvSpPr/>
      </xdr:nvSpPr>
      <xdr:spPr bwMode="auto">
        <a:xfrm>
          <a:off x="7355205" y="1611740"/>
          <a:ext cx="563534" cy="76784"/>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900"/>
            <a:t>UT</a:t>
          </a:r>
          <a:endParaRPr lang="en-US" sz="1100"/>
        </a:p>
      </xdr:txBody>
    </xdr:sp>
    <xdr:clientData/>
  </xdr:twoCellAnchor>
  <xdr:twoCellAnchor>
    <xdr:from>
      <xdr:col>18</xdr:col>
      <xdr:colOff>371761</xdr:colOff>
      <xdr:row>11</xdr:row>
      <xdr:rowOff>16885</xdr:rowOff>
    </xdr:from>
    <xdr:to>
      <xdr:col>19</xdr:col>
      <xdr:colOff>177510</xdr:colOff>
      <xdr:row>11</xdr:row>
      <xdr:rowOff>99580</xdr:rowOff>
    </xdr:to>
    <xdr:sp macro="" textlink="">
      <xdr:nvSpPr>
        <xdr:cNvPr id="12" name="Rectangle 11">
          <a:extLst>
            <a:ext uri="{FF2B5EF4-FFF2-40B4-BE49-F238E27FC236}">
              <a16:creationId xmlns:a16="http://schemas.microsoft.com/office/drawing/2014/main" id="{7A02D98A-3A20-4FA7-A4C4-2E8603C207F8}"/>
            </a:ext>
          </a:extLst>
        </xdr:cNvPr>
        <xdr:cNvSpPr/>
      </xdr:nvSpPr>
      <xdr:spPr bwMode="auto">
        <a:xfrm>
          <a:off x="7905170" y="1692419"/>
          <a:ext cx="186749" cy="82695"/>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700"/>
            <a:t>IT</a:t>
          </a:r>
          <a:endParaRPr lang="en-US" sz="800"/>
        </a:p>
      </xdr:txBody>
    </xdr:sp>
    <xdr:clientData/>
  </xdr:twoCellAnchor>
  <xdr:twoCellAnchor>
    <xdr:from>
      <xdr:col>19</xdr:col>
      <xdr:colOff>189625</xdr:colOff>
      <xdr:row>11</xdr:row>
      <xdr:rowOff>17572</xdr:rowOff>
    </xdr:from>
    <xdr:to>
      <xdr:col>19</xdr:col>
      <xdr:colOff>364515</xdr:colOff>
      <xdr:row>11</xdr:row>
      <xdr:rowOff>99580</xdr:rowOff>
    </xdr:to>
    <xdr:sp macro="" textlink="">
      <xdr:nvSpPr>
        <xdr:cNvPr id="13" name="Rectangle 12">
          <a:extLst>
            <a:ext uri="{FF2B5EF4-FFF2-40B4-BE49-F238E27FC236}">
              <a16:creationId xmlns:a16="http://schemas.microsoft.com/office/drawing/2014/main" id="{9F4283FC-96CC-4C18-92D9-266CF5BA70EC}"/>
            </a:ext>
          </a:extLst>
        </xdr:cNvPr>
        <xdr:cNvSpPr/>
      </xdr:nvSpPr>
      <xdr:spPr bwMode="auto">
        <a:xfrm>
          <a:off x="8104034" y="1693106"/>
          <a:ext cx="174890" cy="82008"/>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700"/>
            <a:t>IP</a:t>
          </a:r>
          <a:endParaRPr lang="en-US" sz="1000"/>
        </a:p>
      </xdr:txBody>
    </xdr:sp>
    <xdr:clientData/>
  </xdr:twoCellAnchor>
  <xdr:twoCellAnchor>
    <xdr:from>
      <xdr:col>9</xdr:col>
      <xdr:colOff>199848</xdr:colOff>
      <xdr:row>8</xdr:row>
      <xdr:rowOff>100627</xdr:rowOff>
    </xdr:from>
    <xdr:to>
      <xdr:col>9</xdr:col>
      <xdr:colOff>376329</xdr:colOff>
      <xdr:row>9</xdr:row>
      <xdr:rowOff>142013</xdr:rowOff>
    </xdr:to>
    <xdr:sp macro="" textlink="">
      <xdr:nvSpPr>
        <xdr:cNvPr id="14" name="Isosceles Triangle 13">
          <a:extLst>
            <a:ext uri="{FF2B5EF4-FFF2-40B4-BE49-F238E27FC236}">
              <a16:creationId xmlns:a16="http://schemas.microsoft.com/office/drawing/2014/main" id="{70567264-2DE8-48DA-A8DE-3B72793237B8}"/>
            </a:ext>
          </a:extLst>
        </xdr:cNvPr>
        <xdr:cNvSpPr/>
      </xdr:nvSpPr>
      <xdr:spPr>
        <a:xfrm>
          <a:off x="4249334" y="1308941"/>
          <a:ext cx="176481" cy="204672"/>
        </a:xfrm>
        <a:prstGeom prst="triangl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oneCellAnchor>
    <xdr:from>
      <xdr:col>8</xdr:col>
      <xdr:colOff>216241</xdr:colOff>
      <xdr:row>9</xdr:row>
      <xdr:rowOff>143103</xdr:rowOff>
    </xdr:from>
    <xdr:ext cx="755015" cy="311496"/>
    <xdr:sp macro="" textlink="">
      <xdr:nvSpPr>
        <xdr:cNvPr id="15" name="TextBox 14">
          <a:extLst>
            <a:ext uri="{FF2B5EF4-FFF2-40B4-BE49-F238E27FC236}">
              <a16:creationId xmlns:a16="http://schemas.microsoft.com/office/drawing/2014/main" id="{C490FE04-2E5B-439B-876E-4306BAD6DF05}"/>
            </a:ext>
          </a:extLst>
        </xdr:cNvPr>
        <xdr:cNvSpPr txBox="1"/>
      </xdr:nvSpPr>
      <xdr:spPr>
        <a:xfrm>
          <a:off x="3882204" y="1513774"/>
          <a:ext cx="75501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700"/>
            <a:t>Non Prod TASC </a:t>
          </a:r>
        </a:p>
        <a:p>
          <a:pPr algn="ctr"/>
          <a:r>
            <a:rPr lang="en-US" sz="700"/>
            <a:t>Integration</a:t>
          </a:r>
          <a:endParaRPr lang="en-US" sz="700" baseline="0"/>
        </a:p>
      </xdr:txBody>
    </xdr:sp>
    <xdr:clientData/>
  </xdr:oneCellAnchor>
  <xdr:twoCellAnchor>
    <xdr:from>
      <xdr:col>17</xdr:col>
      <xdr:colOff>289301</xdr:colOff>
      <xdr:row>7</xdr:row>
      <xdr:rowOff>41818</xdr:rowOff>
    </xdr:from>
    <xdr:to>
      <xdr:col>18</xdr:col>
      <xdr:colOff>78370</xdr:colOff>
      <xdr:row>8</xdr:row>
      <xdr:rowOff>82745</xdr:rowOff>
    </xdr:to>
    <xdr:sp macro="" textlink="">
      <xdr:nvSpPr>
        <xdr:cNvPr id="16" name="Isosceles Triangle 15">
          <a:extLst>
            <a:ext uri="{FF2B5EF4-FFF2-40B4-BE49-F238E27FC236}">
              <a16:creationId xmlns:a16="http://schemas.microsoft.com/office/drawing/2014/main" id="{B6AC823F-2AC0-45F1-97F5-5015922E2FBB}"/>
            </a:ext>
          </a:extLst>
        </xdr:cNvPr>
        <xdr:cNvSpPr/>
      </xdr:nvSpPr>
      <xdr:spPr>
        <a:xfrm>
          <a:off x="7440021" y="1087245"/>
          <a:ext cx="170069" cy="203549"/>
        </a:xfrm>
        <a:prstGeom prst="triangl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oneCellAnchor>
    <xdr:from>
      <xdr:col>17</xdr:col>
      <xdr:colOff>109139</xdr:colOff>
      <xdr:row>8</xdr:row>
      <xdr:rowOff>108462</xdr:rowOff>
    </xdr:from>
    <xdr:ext cx="590995" cy="311496"/>
    <xdr:sp macro="" textlink="">
      <xdr:nvSpPr>
        <xdr:cNvPr id="17" name="TextBox 16">
          <a:extLst>
            <a:ext uri="{FF2B5EF4-FFF2-40B4-BE49-F238E27FC236}">
              <a16:creationId xmlns:a16="http://schemas.microsoft.com/office/drawing/2014/main" id="{C7A5ECF8-2594-4D8E-8B0E-17C84D5DC430}"/>
            </a:ext>
          </a:extLst>
        </xdr:cNvPr>
        <xdr:cNvSpPr txBox="1"/>
      </xdr:nvSpPr>
      <xdr:spPr>
        <a:xfrm>
          <a:off x="7259859" y="1316511"/>
          <a:ext cx="59099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700"/>
            <a:t>Prod TASC </a:t>
          </a:r>
        </a:p>
        <a:p>
          <a:pPr algn="ctr"/>
          <a:r>
            <a:rPr lang="en-US" sz="700"/>
            <a:t>Integration</a:t>
          </a:r>
          <a:endParaRPr lang="en-US" sz="700" baseline="0"/>
        </a:p>
      </xdr:txBody>
    </xdr:sp>
    <xdr:clientData/>
  </xdr:oneCellAnchor>
  <xdr:twoCellAnchor>
    <xdr:from>
      <xdr:col>19</xdr:col>
      <xdr:colOff>325244</xdr:colOff>
      <xdr:row>10</xdr:row>
      <xdr:rowOff>23232</xdr:rowOff>
    </xdr:from>
    <xdr:to>
      <xdr:col>20</xdr:col>
      <xdr:colOff>51109</xdr:colOff>
      <xdr:row>10</xdr:row>
      <xdr:rowOff>108925</xdr:rowOff>
    </xdr:to>
    <xdr:sp macro="" textlink="">
      <xdr:nvSpPr>
        <xdr:cNvPr id="18" name="5-Point Star 230">
          <a:extLst>
            <a:ext uri="{FF2B5EF4-FFF2-40B4-BE49-F238E27FC236}">
              <a16:creationId xmlns:a16="http://schemas.microsoft.com/office/drawing/2014/main" id="{1E130B7B-BA4C-4B30-965D-09428B7F6857}"/>
            </a:ext>
          </a:extLst>
        </xdr:cNvPr>
        <xdr:cNvSpPr/>
      </xdr:nvSpPr>
      <xdr:spPr bwMode="auto">
        <a:xfrm>
          <a:off x="8237964" y="1556525"/>
          <a:ext cx="106865" cy="85693"/>
        </a:xfrm>
        <a:prstGeom prst="star5">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19</xdr:col>
      <xdr:colOff>379235</xdr:colOff>
      <xdr:row>10</xdr:row>
      <xdr:rowOff>48352</xdr:rowOff>
    </xdr:from>
    <xdr:to>
      <xdr:col>21</xdr:col>
      <xdr:colOff>328466</xdr:colOff>
      <xdr:row>14</xdr:row>
      <xdr:rowOff>2842</xdr:rowOff>
    </xdr:to>
    <xdr:sp macro="" textlink="">
      <xdr:nvSpPr>
        <xdr:cNvPr id="19" name="TextBox 18">
          <a:extLst>
            <a:ext uri="{FF2B5EF4-FFF2-40B4-BE49-F238E27FC236}">
              <a16:creationId xmlns:a16="http://schemas.microsoft.com/office/drawing/2014/main" id="{5123BF98-41D4-4855-A55E-3336F57651D2}"/>
            </a:ext>
          </a:extLst>
        </xdr:cNvPr>
        <xdr:cNvSpPr txBox="1"/>
      </xdr:nvSpPr>
      <xdr:spPr bwMode="auto">
        <a:xfrm>
          <a:off x="8291955" y="1581645"/>
          <a:ext cx="711231" cy="563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700"/>
            <a:t>Go-live</a:t>
          </a:r>
        </a:p>
        <a:p>
          <a:r>
            <a:rPr lang="en-US" sz="700"/>
            <a:t>2-Mar</a:t>
          </a:r>
        </a:p>
      </xdr:txBody>
    </xdr:sp>
    <xdr:clientData/>
  </xdr:twoCellAnchor>
  <xdr:twoCellAnchor>
    <xdr:from>
      <xdr:col>17</xdr:col>
      <xdr:colOff>16925</xdr:colOff>
      <xdr:row>63</xdr:row>
      <xdr:rowOff>33233</xdr:rowOff>
    </xdr:from>
    <xdr:to>
      <xdr:col>31</xdr:col>
      <xdr:colOff>122204</xdr:colOff>
      <xdr:row>82</xdr:row>
      <xdr:rowOff>129340</xdr:rowOff>
    </xdr:to>
    <xdr:sp macro="" textlink="">
      <xdr:nvSpPr>
        <xdr:cNvPr id="20" name="Text Box 6">
          <a:extLst>
            <a:ext uri="{FF2B5EF4-FFF2-40B4-BE49-F238E27FC236}">
              <a16:creationId xmlns:a16="http://schemas.microsoft.com/office/drawing/2014/main" id="{76694EA5-0946-46DC-96CB-174BAD84B55E}"/>
            </a:ext>
          </a:extLst>
        </xdr:cNvPr>
        <xdr:cNvSpPr txBox="1">
          <a:spLocks noChangeArrowheads="1"/>
        </xdr:cNvSpPr>
      </xdr:nvSpPr>
      <xdr:spPr bwMode="auto">
        <a:xfrm>
          <a:off x="7165688" y="10089628"/>
          <a:ext cx="5439279" cy="3043844"/>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900" b="1" i="0" u="sng" strike="noStrike" baseline="0">
              <a:solidFill>
                <a:srgbClr val="000000"/>
              </a:solidFill>
              <a:latin typeface="Arial"/>
              <a:cs typeface="Arial"/>
            </a:rPr>
            <a:t>This week actions</a:t>
          </a:r>
        </a:p>
        <a:p>
          <a:pPr algn="l" rtl="0">
            <a:defRPr sz="1000"/>
          </a:pPr>
          <a:endParaRPr lang="en-US" sz="900" b="0" i="0" u="sng" strike="noStrike" baseline="0">
            <a:solidFill>
              <a:srgbClr val="000000"/>
            </a:solidFill>
            <a:latin typeface="Arial"/>
            <a:cs typeface="Arial"/>
          </a:endParaRPr>
        </a:p>
        <a:p>
          <a:pPr rtl="0"/>
          <a:r>
            <a:rPr lang="en-US" sz="1100" b="0" i="0" baseline="0">
              <a:effectLst/>
              <a:latin typeface="+mn-lt"/>
              <a:ea typeface="+mn-ea"/>
              <a:cs typeface="+mn-cs"/>
            </a:rPr>
            <a:t>1. Continue  1 PT-Test ,Finish Test 6 Function</a:t>
          </a:r>
          <a:endParaRPr lang="en-US">
            <a:effectLst/>
          </a:endParaRPr>
        </a:p>
        <a:p>
          <a:pPr rtl="0"/>
          <a:r>
            <a:rPr lang="en-US" sz="1100" b="0" i="0" baseline="0">
              <a:effectLst/>
              <a:latin typeface="+mn-lt"/>
              <a:ea typeface="+mn-ea"/>
              <a:cs typeface="+mn-cs"/>
            </a:rPr>
            <a:t>2. Start Dev  3 Functions , Start Test 5  Functions </a:t>
          </a:r>
          <a:endParaRPr lang="en-US">
            <a:effectLst/>
          </a:endParaRPr>
        </a:p>
        <a:p>
          <a:pPr rtl="0"/>
          <a:r>
            <a:rPr lang="en-US" sz="1100" b="0" i="0" baseline="0">
              <a:effectLst/>
              <a:latin typeface="+mn-lt"/>
              <a:ea typeface="+mn-ea"/>
              <a:cs typeface="+mn-cs"/>
            </a:rPr>
            <a:t>3. Create Folder and Upload Ctrl files TBOS server</a:t>
          </a:r>
          <a:r>
            <a:rPr lang="th-TH" sz="1100" b="0" i="0" baseline="0">
              <a:effectLst/>
              <a:latin typeface="+mn-lt"/>
              <a:ea typeface="+mn-ea"/>
              <a:cs typeface="+mn-cs"/>
            </a:rPr>
            <a:t> </a:t>
          </a:r>
          <a:r>
            <a:rPr lang="en-US" sz="1100" b="0" i="0" baseline="0">
              <a:effectLst/>
              <a:latin typeface="+mn-lt"/>
              <a:ea typeface="+mn-ea"/>
              <a:cs typeface="+mn-cs"/>
            </a:rPr>
            <a:t>HULFT</a:t>
          </a:r>
          <a:endParaRPr lang="en-US">
            <a:effectLst/>
          </a:endParaRPr>
        </a:p>
        <a:p>
          <a:pPr rtl="0"/>
          <a:r>
            <a:rPr lang="en-US" sz="1100" b="0" i="0" baseline="0">
              <a:effectLst/>
              <a:latin typeface="+mn-lt"/>
              <a:ea typeface="+mn-ea"/>
              <a:cs typeface="+mn-cs"/>
            </a:rPr>
            <a:t>4. Submit Response time to IS (Performance Test)</a:t>
          </a:r>
          <a:endParaRPr lang="en-US">
            <a:effectLst/>
          </a:endParaRPr>
        </a:p>
        <a:p>
          <a:pPr rtl="0"/>
          <a:r>
            <a:rPr lang="en-US" sz="1100" b="0" i="0" baseline="0">
              <a:effectLst/>
              <a:latin typeface="+mn-lt"/>
              <a:ea typeface="+mn-ea"/>
              <a:cs typeface="+mn-cs"/>
            </a:rPr>
            <a:t>5. Deploy Developed Function to TBOS Dev , Plan 26/9/2024</a:t>
          </a:r>
        </a:p>
        <a:p>
          <a:pPr rtl="0"/>
          <a:r>
            <a:rPr lang="en-US" sz="1100" b="0" i="0" baseline="0">
              <a:effectLst/>
              <a:latin typeface="+mn-lt"/>
              <a:ea typeface="+mn-ea"/>
              <a:cs typeface="+mn-cs"/>
            </a:rPr>
            <a:t>6. Meeting with FCH for IFT,BCT Script Knowledge Transfer #1 30/9/2024 </a:t>
          </a:r>
        </a:p>
        <a:p>
          <a:pPr rtl="0"/>
          <a:endParaRPr lang="en-US">
            <a:effectLst/>
          </a:endParaRPr>
        </a:p>
        <a:p>
          <a:pPr algn="l" rtl="0">
            <a:defRPr sz="1000"/>
          </a:pPr>
          <a:r>
            <a:rPr lang="en-US" sz="900" b="1" i="0" u="sng" strike="noStrike" baseline="0">
              <a:solidFill>
                <a:srgbClr val="000000"/>
              </a:solidFill>
              <a:latin typeface="Arial"/>
              <a:cs typeface="Arial"/>
            </a:rPr>
            <a:t>Next week actions</a:t>
          </a:r>
        </a:p>
        <a:p>
          <a:pPr algn="l" rtl="0">
            <a:defRPr sz="1000"/>
          </a:pPr>
          <a:endParaRPr lang="en-US" sz="900" b="1" i="0" u="sng"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1. Finished PT- Test 4 Functions</a:t>
          </a:r>
        </a:p>
        <a:p>
          <a:pPr algn="l" rtl="0">
            <a:defRPr sz="1000"/>
          </a:pPr>
          <a:r>
            <a:rPr lang="en-US" sz="900" b="0" i="0" u="none" strike="noStrike" baseline="0">
              <a:solidFill>
                <a:srgbClr val="000000"/>
              </a:solidFill>
              <a:latin typeface="Arial"/>
              <a:cs typeface="Arial"/>
            </a:rPr>
            <a:t>2. Continue Dev  3 Functions , Start 4 Functions</a:t>
          </a:r>
        </a:p>
        <a:p>
          <a:pPr algn="l" rtl="0">
            <a:defRPr sz="1000"/>
          </a:pPr>
          <a:r>
            <a:rPr lang="en-US" sz="900" b="0" i="0" u="none" strike="noStrike" baseline="0">
              <a:solidFill>
                <a:srgbClr val="000000"/>
              </a:solidFill>
              <a:latin typeface="Arial"/>
              <a:cs typeface="Arial"/>
            </a:rPr>
            <a:t>3. Submit  Sample NQC request interface 03 Oct  </a:t>
          </a:r>
        </a:p>
        <a:p>
          <a:pPr algn="l" rtl="0">
            <a:defRPr sz="1000"/>
          </a:pPr>
          <a:r>
            <a:rPr lang="en-US" sz="900" b="0" i="0" u="none" strike="noStrike" baseline="0">
              <a:solidFill>
                <a:srgbClr val="000000"/>
              </a:solidFill>
              <a:latin typeface="Arial"/>
              <a:cs typeface="Arial"/>
            </a:rPr>
            <a:t>4. IFT Script Discussion with IS  </a:t>
          </a:r>
          <a:r>
            <a:rPr lang="en-US" sz="1000" b="0" i="0" baseline="0">
              <a:effectLst/>
              <a:latin typeface="+mn-lt"/>
              <a:ea typeface="+mn-ea"/>
              <a:cs typeface="+mn-cs"/>
            </a:rPr>
            <a:t>04 Oct </a:t>
          </a: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152400</xdr:colOff>
      <xdr:row>1</xdr:row>
      <xdr:rowOff>66675</xdr:rowOff>
    </xdr:from>
    <xdr:to>
      <xdr:col>31</xdr:col>
      <xdr:colOff>371475</xdr:colOff>
      <xdr:row>37</xdr:row>
      <xdr:rowOff>142875</xdr:rowOff>
    </xdr:to>
    <xdr:graphicFrame macro="">
      <xdr:nvGraphicFramePr>
        <xdr:cNvPr id="20481" name="Chart 1">
          <a:extLst>
            <a:ext uri="{FF2B5EF4-FFF2-40B4-BE49-F238E27FC236}">
              <a16:creationId xmlns:a16="http://schemas.microsoft.com/office/drawing/2014/main" id="{00000000-0008-0000-0100-0000015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295275</xdr:colOff>
      <xdr:row>4</xdr:row>
      <xdr:rowOff>142875</xdr:rowOff>
    </xdr:from>
    <xdr:to>
      <xdr:col>19</xdr:col>
      <xdr:colOff>295275</xdr:colOff>
      <xdr:row>30</xdr:row>
      <xdr:rowOff>123825</xdr:rowOff>
    </xdr:to>
    <xdr:sp macro="" textlink="">
      <xdr:nvSpPr>
        <xdr:cNvPr id="20482" name="Line 2">
          <a:extLst>
            <a:ext uri="{FF2B5EF4-FFF2-40B4-BE49-F238E27FC236}">
              <a16:creationId xmlns:a16="http://schemas.microsoft.com/office/drawing/2014/main" id="{00000000-0008-0000-0100-000002500000}"/>
            </a:ext>
          </a:extLst>
        </xdr:cNvPr>
        <xdr:cNvSpPr>
          <a:spLocks noChangeShapeType="1"/>
        </xdr:cNvSpPr>
      </xdr:nvSpPr>
      <xdr:spPr bwMode="auto">
        <a:xfrm flipV="1">
          <a:off x="8248650" y="790575"/>
          <a:ext cx="0" cy="4191000"/>
        </a:xfrm>
        <a:prstGeom prst="line">
          <a:avLst/>
        </a:prstGeom>
        <a:noFill/>
        <a:ln w="38100">
          <a:solidFill>
            <a:srgbClr val="000000"/>
          </a:solidFill>
          <a:round/>
          <a:headEnd/>
          <a:tailEnd/>
        </a:ln>
      </xdr:spPr>
    </xdr:sp>
    <xdr:clientData/>
  </xdr:twoCellAnchor>
  <xdr:twoCellAnchor>
    <xdr:from>
      <xdr:col>18</xdr:col>
      <xdr:colOff>200025</xdr:colOff>
      <xdr:row>2</xdr:row>
      <xdr:rowOff>123825</xdr:rowOff>
    </xdr:from>
    <xdr:to>
      <xdr:col>21</xdr:col>
      <xdr:colOff>9525</xdr:colOff>
      <xdr:row>4</xdr:row>
      <xdr:rowOff>133350</xdr:rowOff>
    </xdr:to>
    <xdr:sp macro="" textlink="">
      <xdr:nvSpPr>
        <xdr:cNvPr id="20483" name="AutoShape 3">
          <a:extLst>
            <a:ext uri="{FF2B5EF4-FFF2-40B4-BE49-F238E27FC236}">
              <a16:creationId xmlns:a16="http://schemas.microsoft.com/office/drawing/2014/main" id="{00000000-0008-0000-0100-000003500000}"/>
            </a:ext>
          </a:extLst>
        </xdr:cNvPr>
        <xdr:cNvSpPr>
          <a:spLocks noChangeArrowheads="1"/>
        </xdr:cNvSpPr>
      </xdr:nvSpPr>
      <xdr:spPr bwMode="auto">
        <a:xfrm>
          <a:off x="7772400" y="447675"/>
          <a:ext cx="952500" cy="333375"/>
        </a:xfrm>
        <a:prstGeom prst="flowChartDecision">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END</a:t>
          </a:r>
        </a:p>
      </xdr:txBody>
    </xdr:sp>
    <xdr:clientData/>
  </xdr:twoCellAnchor>
  <xdr:twoCellAnchor>
    <xdr:from>
      <xdr:col>2</xdr:col>
      <xdr:colOff>285750</xdr:colOff>
      <xdr:row>4</xdr:row>
      <xdr:rowOff>57150</xdr:rowOff>
    </xdr:from>
    <xdr:to>
      <xdr:col>2</xdr:col>
      <xdr:colOff>285750</xdr:colOff>
      <xdr:row>30</xdr:row>
      <xdr:rowOff>38100</xdr:rowOff>
    </xdr:to>
    <xdr:sp macro="" textlink="">
      <xdr:nvSpPr>
        <xdr:cNvPr id="20484" name="Line 4">
          <a:extLst>
            <a:ext uri="{FF2B5EF4-FFF2-40B4-BE49-F238E27FC236}">
              <a16:creationId xmlns:a16="http://schemas.microsoft.com/office/drawing/2014/main" id="{00000000-0008-0000-0100-000004500000}"/>
            </a:ext>
          </a:extLst>
        </xdr:cNvPr>
        <xdr:cNvSpPr>
          <a:spLocks noChangeShapeType="1"/>
        </xdr:cNvSpPr>
      </xdr:nvSpPr>
      <xdr:spPr bwMode="auto">
        <a:xfrm flipV="1">
          <a:off x="1762125" y="704850"/>
          <a:ext cx="0" cy="4191000"/>
        </a:xfrm>
        <a:prstGeom prst="line">
          <a:avLst/>
        </a:prstGeom>
        <a:noFill/>
        <a:ln w="38100">
          <a:solidFill>
            <a:srgbClr val="000000"/>
          </a:solidFill>
          <a:round/>
          <a:headEnd/>
          <a:tailEnd/>
        </a:ln>
      </xdr:spPr>
    </xdr:sp>
    <xdr:clientData/>
  </xdr:twoCellAnchor>
  <xdr:twoCellAnchor>
    <xdr:from>
      <xdr:col>1</xdr:col>
      <xdr:colOff>1095375</xdr:colOff>
      <xdr:row>2</xdr:row>
      <xdr:rowOff>38100</xdr:rowOff>
    </xdr:from>
    <xdr:to>
      <xdr:col>4</xdr:col>
      <xdr:colOff>57150</xdr:colOff>
      <xdr:row>4</xdr:row>
      <xdr:rowOff>47625</xdr:rowOff>
    </xdr:to>
    <xdr:sp macro="" textlink="">
      <xdr:nvSpPr>
        <xdr:cNvPr id="20485" name="AutoShape 5">
          <a:extLst>
            <a:ext uri="{FF2B5EF4-FFF2-40B4-BE49-F238E27FC236}">
              <a16:creationId xmlns:a16="http://schemas.microsoft.com/office/drawing/2014/main" id="{00000000-0008-0000-0100-000005500000}"/>
            </a:ext>
          </a:extLst>
        </xdr:cNvPr>
        <xdr:cNvSpPr>
          <a:spLocks noChangeArrowheads="1"/>
        </xdr:cNvSpPr>
      </xdr:nvSpPr>
      <xdr:spPr bwMode="auto">
        <a:xfrm>
          <a:off x="1228725" y="361950"/>
          <a:ext cx="1066800" cy="333375"/>
        </a:xfrm>
        <a:prstGeom prst="flowChartDecision">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START</a:t>
          </a:r>
        </a:p>
      </xdr:txBody>
    </xdr:sp>
    <xdr:clientData/>
  </xdr:twoCellAnchor>
  <xdr:twoCellAnchor>
    <xdr:from>
      <xdr:col>17</xdr:col>
      <xdr:colOff>342900</xdr:colOff>
      <xdr:row>4</xdr:row>
      <xdr:rowOff>142875</xdr:rowOff>
    </xdr:from>
    <xdr:to>
      <xdr:col>17</xdr:col>
      <xdr:colOff>342900</xdr:colOff>
      <xdr:row>30</xdr:row>
      <xdr:rowOff>123825</xdr:rowOff>
    </xdr:to>
    <xdr:sp macro="" textlink="">
      <xdr:nvSpPr>
        <xdr:cNvPr id="20486" name="Line 6">
          <a:extLst>
            <a:ext uri="{FF2B5EF4-FFF2-40B4-BE49-F238E27FC236}">
              <a16:creationId xmlns:a16="http://schemas.microsoft.com/office/drawing/2014/main" id="{00000000-0008-0000-0100-000006500000}"/>
            </a:ext>
          </a:extLst>
        </xdr:cNvPr>
        <xdr:cNvSpPr>
          <a:spLocks noChangeShapeType="1"/>
        </xdr:cNvSpPr>
      </xdr:nvSpPr>
      <xdr:spPr bwMode="auto">
        <a:xfrm flipV="1">
          <a:off x="7534275" y="790575"/>
          <a:ext cx="0" cy="4191000"/>
        </a:xfrm>
        <a:prstGeom prst="line">
          <a:avLst/>
        </a:prstGeom>
        <a:noFill/>
        <a:ln w="38100">
          <a:solidFill>
            <a:srgbClr val="993300"/>
          </a:solidFill>
          <a:round/>
          <a:headEnd/>
          <a:tailEnd/>
        </a:ln>
      </xdr:spPr>
    </xdr:sp>
    <xdr:clientData/>
  </xdr:twoCellAnchor>
  <xdr:twoCellAnchor>
    <xdr:from>
      <xdr:col>16</xdr:col>
      <xdr:colOff>209550</xdr:colOff>
      <xdr:row>2</xdr:row>
      <xdr:rowOff>133350</xdr:rowOff>
    </xdr:from>
    <xdr:to>
      <xdr:col>19</xdr:col>
      <xdr:colOff>95250</xdr:colOff>
      <xdr:row>4</xdr:row>
      <xdr:rowOff>142875</xdr:rowOff>
    </xdr:to>
    <xdr:sp macro="" textlink="">
      <xdr:nvSpPr>
        <xdr:cNvPr id="20487" name="AutoShape 7">
          <a:extLst>
            <a:ext uri="{FF2B5EF4-FFF2-40B4-BE49-F238E27FC236}">
              <a16:creationId xmlns:a16="http://schemas.microsoft.com/office/drawing/2014/main" id="{00000000-0008-0000-0100-000007500000}"/>
            </a:ext>
          </a:extLst>
        </xdr:cNvPr>
        <xdr:cNvSpPr>
          <a:spLocks noChangeArrowheads="1"/>
        </xdr:cNvSpPr>
      </xdr:nvSpPr>
      <xdr:spPr bwMode="auto">
        <a:xfrm>
          <a:off x="7019925" y="457200"/>
          <a:ext cx="1028700" cy="333375"/>
        </a:xfrm>
        <a:prstGeom prst="flowChartDecision">
          <a:avLst/>
        </a:prstGeom>
        <a:solidFill>
          <a:srgbClr val="FFFFFF"/>
        </a:solidFill>
        <a:ln w="9525">
          <a:solidFill>
            <a:srgbClr val="9933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TODAY</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254</xdr:row>
      <xdr:rowOff>76200</xdr:rowOff>
    </xdr:from>
    <xdr:to>
      <xdr:col>82</xdr:col>
      <xdr:colOff>28575</xdr:colOff>
      <xdr:row>277</xdr:row>
      <xdr:rowOff>114300</xdr:rowOff>
    </xdr:to>
    <xdr:pic>
      <xdr:nvPicPr>
        <xdr:cNvPr id="26845" name="Picture 221">
          <a:extLst>
            <a:ext uri="{FF2B5EF4-FFF2-40B4-BE49-F238E27FC236}">
              <a16:creationId xmlns:a16="http://schemas.microsoft.com/office/drawing/2014/main" id="{00000000-0008-0000-0200-0000DD6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04875" y="39957375"/>
          <a:ext cx="6886575" cy="3762375"/>
        </a:xfrm>
        <a:prstGeom prst="rect">
          <a:avLst/>
        </a:prstGeom>
        <a:noFill/>
      </xdr:spPr>
    </xdr:pic>
    <xdr:clientData/>
  </xdr:twoCellAnchor>
  <xdr:twoCellAnchor editAs="oneCell">
    <xdr:from>
      <xdr:col>61</xdr:col>
      <xdr:colOff>47625</xdr:colOff>
      <xdr:row>337</xdr:row>
      <xdr:rowOff>133350</xdr:rowOff>
    </xdr:from>
    <xdr:to>
      <xdr:col>101</xdr:col>
      <xdr:colOff>9525</xdr:colOff>
      <xdr:row>342</xdr:row>
      <xdr:rowOff>123825</xdr:rowOff>
    </xdr:to>
    <xdr:pic>
      <xdr:nvPicPr>
        <xdr:cNvPr id="26842" name="Picture 218">
          <a:extLst>
            <a:ext uri="{FF2B5EF4-FFF2-40B4-BE49-F238E27FC236}">
              <a16:creationId xmlns:a16="http://schemas.microsoft.com/office/drawing/2014/main" id="{00000000-0008-0000-0200-0000DA6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810250" y="53454300"/>
          <a:ext cx="3762375" cy="800100"/>
        </a:xfrm>
        <a:prstGeom prst="rect">
          <a:avLst/>
        </a:prstGeom>
        <a:noFill/>
        <a:ln w="1">
          <a:noFill/>
          <a:miter lim="800000"/>
          <a:headEnd/>
          <a:tailEnd/>
        </a:ln>
        <a:effectLst/>
      </xdr:spPr>
    </xdr:pic>
    <xdr:clientData/>
  </xdr:twoCellAnchor>
  <xdr:twoCellAnchor editAs="oneCell">
    <xdr:from>
      <xdr:col>61</xdr:col>
      <xdr:colOff>47625</xdr:colOff>
      <xdr:row>324</xdr:row>
      <xdr:rowOff>123825</xdr:rowOff>
    </xdr:from>
    <xdr:to>
      <xdr:col>101</xdr:col>
      <xdr:colOff>9525</xdr:colOff>
      <xdr:row>329</xdr:row>
      <xdr:rowOff>114300</xdr:rowOff>
    </xdr:to>
    <xdr:pic>
      <xdr:nvPicPr>
        <xdr:cNvPr id="26841" name="Picture 217">
          <a:extLst>
            <a:ext uri="{FF2B5EF4-FFF2-40B4-BE49-F238E27FC236}">
              <a16:creationId xmlns:a16="http://schemas.microsoft.com/office/drawing/2014/main" id="{00000000-0008-0000-0200-0000D96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5810250" y="51339750"/>
          <a:ext cx="3762375" cy="800100"/>
        </a:xfrm>
        <a:prstGeom prst="rect">
          <a:avLst/>
        </a:prstGeom>
        <a:noFill/>
        <a:ln w="1">
          <a:noFill/>
          <a:miter lim="800000"/>
          <a:headEnd/>
          <a:tailEnd/>
        </a:ln>
        <a:effectLst/>
      </xdr:spPr>
    </xdr:pic>
    <xdr:clientData/>
  </xdr:twoCellAnchor>
  <xdr:twoCellAnchor editAs="oneCell">
    <xdr:from>
      <xdr:col>17</xdr:col>
      <xdr:colOff>76200</xdr:colOff>
      <xdr:row>295</xdr:row>
      <xdr:rowOff>95250</xdr:rowOff>
    </xdr:from>
    <xdr:to>
      <xdr:col>62</xdr:col>
      <xdr:colOff>19050</xdr:colOff>
      <xdr:row>298</xdr:row>
      <xdr:rowOff>142875</xdr:rowOff>
    </xdr:to>
    <xdr:pic>
      <xdr:nvPicPr>
        <xdr:cNvPr id="26840" name="Picture 216">
          <a:extLst>
            <a:ext uri="{FF2B5EF4-FFF2-40B4-BE49-F238E27FC236}">
              <a16:creationId xmlns:a16="http://schemas.microsoft.com/office/drawing/2014/main" id="{00000000-0008-0000-0200-0000D86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647825" y="46615350"/>
          <a:ext cx="4229100" cy="533400"/>
        </a:xfrm>
        <a:prstGeom prst="rect">
          <a:avLst/>
        </a:prstGeom>
        <a:noFill/>
        <a:ln w="1">
          <a:noFill/>
          <a:miter lim="800000"/>
          <a:headEnd/>
          <a:tailEnd/>
        </a:ln>
        <a:effectLst/>
      </xdr:spPr>
    </xdr:pic>
    <xdr:clientData/>
  </xdr:twoCellAnchor>
  <xdr:twoCellAnchor editAs="oneCell">
    <xdr:from>
      <xdr:col>20</xdr:col>
      <xdr:colOff>85725</xdr:colOff>
      <xdr:row>279</xdr:row>
      <xdr:rowOff>28575</xdr:rowOff>
    </xdr:from>
    <xdr:to>
      <xdr:col>81</xdr:col>
      <xdr:colOff>47625</xdr:colOff>
      <xdr:row>286</xdr:row>
      <xdr:rowOff>142875</xdr:rowOff>
    </xdr:to>
    <xdr:pic>
      <xdr:nvPicPr>
        <xdr:cNvPr id="26839" name="Picture 215">
          <a:extLst>
            <a:ext uri="{FF2B5EF4-FFF2-40B4-BE49-F238E27FC236}">
              <a16:creationId xmlns:a16="http://schemas.microsoft.com/office/drawing/2014/main" id="{00000000-0008-0000-0200-0000D76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943100" y="43957875"/>
          <a:ext cx="5772150" cy="1247775"/>
        </a:xfrm>
        <a:prstGeom prst="rect">
          <a:avLst/>
        </a:prstGeom>
        <a:noFill/>
        <a:ln w="1">
          <a:noFill/>
          <a:miter lim="800000"/>
          <a:headEnd/>
          <a:tailEnd/>
        </a:ln>
        <a:effectLst/>
      </xdr:spPr>
    </xdr:pic>
    <xdr:clientData/>
  </xdr:twoCellAnchor>
  <xdr:twoCellAnchor editAs="oneCell">
    <xdr:from>
      <xdr:col>37</xdr:col>
      <xdr:colOff>38100</xdr:colOff>
      <xdr:row>338</xdr:row>
      <xdr:rowOff>142875</xdr:rowOff>
    </xdr:from>
    <xdr:to>
      <xdr:col>59</xdr:col>
      <xdr:colOff>9525</xdr:colOff>
      <xdr:row>340</xdr:row>
      <xdr:rowOff>0</xdr:rowOff>
    </xdr:to>
    <xdr:pic>
      <xdr:nvPicPr>
        <xdr:cNvPr id="26795" name="Picture 171">
          <a:extLst>
            <a:ext uri="{FF2B5EF4-FFF2-40B4-BE49-F238E27FC236}">
              <a16:creationId xmlns:a16="http://schemas.microsoft.com/office/drawing/2014/main" id="{00000000-0008-0000-0200-0000AB6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3514725" y="53625750"/>
          <a:ext cx="2066925" cy="180975"/>
        </a:xfrm>
        <a:prstGeom prst="rect">
          <a:avLst/>
        </a:prstGeom>
        <a:noFill/>
        <a:ln w="1">
          <a:noFill/>
          <a:miter lim="800000"/>
          <a:headEnd/>
          <a:tailEnd/>
        </a:ln>
        <a:effectLst/>
      </xdr:spPr>
    </xdr:pic>
    <xdr:clientData/>
  </xdr:twoCellAnchor>
  <xdr:twoCellAnchor editAs="oneCell">
    <xdr:from>
      <xdr:col>15</xdr:col>
      <xdr:colOff>28575</xdr:colOff>
      <xdr:row>325</xdr:row>
      <xdr:rowOff>9525</xdr:rowOff>
    </xdr:from>
    <xdr:to>
      <xdr:col>37</xdr:col>
      <xdr:colOff>76200</xdr:colOff>
      <xdr:row>326</xdr:row>
      <xdr:rowOff>19050</xdr:rowOff>
    </xdr:to>
    <xdr:pic>
      <xdr:nvPicPr>
        <xdr:cNvPr id="26798" name="Picture 174">
          <a:extLst>
            <a:ext uri="{FF2B5EF4-FFF2-40B4-BE49-F238E27FC236}">
              <a16:creationId xmlns:a16="http://schemas.microsoft.com/office/drawing/2014/main" id="{00000000-0008-0000-0200-0000AE6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1409700" y="51387375"/>
          <a:ext cx="2143125" cy="171450"/>
        </a:xfrm>
        <a:prstGeom prst="rect">
          <a:avLst/>
        </a:prstGeom>
        <a:noFill/>
        <a:ln w="1">
          <a:noFill/>
          <a:miter lim="800000"/>
          <a:headEnd/>
          <a:tailEnd/>
        </a:ln>
        <a:effectLst/>
      </xdr:spPr>
    </xdr:pic>
    <xdr:clientData/>
  </xdr:twoCellAnchor>
  <xdr:twoCellAnchor>
    <xdr:from>
      <xdr:col>57</xdr:col>
      <xdr:colOff>85725</xdr:colOff>
      <xdr:row>207</xdr:row>
      <xdr:rowOff>76200</xdr:rowOff>
    </xdr:from>
    <xdr:to>
      <xdr:col>85</xdr:col>
      <xdr:colOff>28575</xdr:colOff>
      <xdr:row>210</xdr:row>
      <xdr:rowOff>9525</xdr:rowOff>
    </xdr:to>
    <xdr:grpSp>
      <xdr:nvGrpSpPr>
        <xdr:cNvPr id="26785" name="Group 161">
          <a:extLst>
            <a:ext uri="{FF2B5EF4-FFF2-40B4-BE49-F238E27FC236}">
              <a16:creationId xmlns:a16="http://schemas.microsoft.com/office/drawing/2014/main" id="{00000000-0008-0000-0200-0000A1680000}"/>
            </a:ext>
          </a:extLst>
        </xdr:cNvPr>
        <xdr:cNvGrpSpPr>
          <a:grpSpLocks/>
        </xdr:cNvGrpSpPr>
      </xdr:nvGrpSpPr>
      <xdr:grpSpPr bwMode="auto">
        <a:xfrm>
          <a:off x="5738813" y="32551688"/>
          <a:ext cx="2743200" cy="419100"/>
          <a:chOff x="356" y="3487"/>
          <a:chExt cx="274" cy="44"/>
        </a:xfrm>
      </xdr:grpSpPr>
      <xdr:pic>
        <xdr:nvPicPr>
          <xdr:cNvPr id="26783" name="Picture 159">
            <a:extLst>
              <a:ext uri="{FF2B5EF4-FFF2-40B4-BE49-F238E27FC236}">
                <a16:creationId xmlns:a16="http://schemas.microsoft.com/office/drawing/2014/main" id="{00000000-0008-0000-0200-00009F6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536" y="3487"/>
            <a:ext cx="94" cy="43"/>
          </a:xfrm>
          <a:prstGeom prst="rect">
            <a:avLst/>
          </a:prstGeom>
          <a:noFill/>
          <a:ln w="1">
            <a:noFill/>
            <a:miter lim="800000"/>
            <a:headEnd/>
            <a:tailEnd/>
          </a:ln>
          <a:effectLst/>
        </xdr:spPr>
      </xdr:pic>
      <xdr:pic>
        <xdr:nvPicPr>
          <xdr:cNvPr id="26784" name="Picture 160">
            <a:extLst>
              <a:ext uri="{FF2B5EF4-FFF2-40B4-BE49-F238E27FC236}">
                <a16:creationId xmlns:a16="http://schemas.microsoft.com/office/drawing/2014/main" id="{00000000-0008-0000-0200-0000A068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56" y="3488"/>
            <a:ext cx="180" cy="43"/>
          </a:xfrm>
          <a:prstGeom prst="rect">
            <a:avLst/>
          </a:prstGeom>
          <a:noFill/>
          <a:ln w="1">
            <a:noFill/>
            <a:miter lim="800000"/>
            <a:headEnd/>
            <a:tailEnd/>
          </a:ln>
          <a:effectLst/>
        </xdr:spPr>
      </xdr:pic>
    </xdr:grpSp>
    <xdr:clientData/>
  </xdr:twoCellAnchor>
  <xdr:twoCellAnchor editAs="oneCell">
    <xdr:from>
      <xdr:col>26</xdr:col>
      <xdr:colOff>47625</xdr:colOff>
      <xdr:row>203</xdr:row>
      <xdr:rowOff>19050</xdr:rowOff>
    </xdr:from>
    <xdr:to>
      <xdr:col>99</xdr:col>
      <xdr:colOff>57150</xdr:colOff>
      <xdr:row>205</xdr:row>
      <xdr:rowOff>57150</xdr:rowOff>
    </xdr:to>
    <xdr:pic>
      <xdr:nvPicPr>
        <xdr:cNvPr id="26781" name="Picture 157">
          <a:extLst>
            <a:ext uri="{FF2B5EF4-FFF2-40B4-BE49-F238E27FC236}">
              <a16:creationId xmlns:a16="http://schemas.microsoft.com/office/drawing/2014/main" id="{00000000-0008-0000-0200-00009D6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2476500" y="31642050"/>
          <a:ext cx="6962775" cy="361950"/>
        </a:xfrm>
        <a:prstGeom prst="rect">
          <a:avLst/>
        </a:prstGeom>
        <a:noFill/>
        <a:ln w="1">
          <a:noFill/>
          <a:miter lim="800000"/>
          <a:headEnd/>
          <a:tailEnd/>
        </a:ln>
        <a:effectLst/>
      </xdr:spPr>
    </xdr:pic>
    <xdr:clientData/>
  </xdr:twoCellAnchor>
  <xdr:twoCellAnchor>
    <xdr:from>
      <xdr:col>51</xdr:col>
      <xdr:colOff>47625</xdr:colOff>
      <xdr:row>123</xdr:row>
      <xdr:rowOff>19050</xdr:rowOff>
    </xdr:from>
    <xdr:to>
      <xdr:col>83</xdr:col>
      <xdr:colOff>66675</xdr:colOff>
      <xdr:row>125</xdr:row>
      <xdr:rowOff>152400</xdr:rowOff>
    </xdr:to>
    <xdr:grpSp>
      <xdr:nvGrpSpPr>
        <xdr:cNvPr id="26761" name="Group 137">
          <a:extLst>
            <a:ext uri="{FF2B5EF4-FFF2-40B4-BE49-F238E27FC236}">
              <a16:creationId xmlns:a16="http://schemas.microsoft.com/office/drawing/2014/main" id="{00000000-0008-0000-0200-000089680000}"/>
            </a:ext>
          </a:extLst>
        </xdr:cNvPr>
        <xdr:cNvGrpSpPr>
          <a:grpSpLocks/>
        </xdr:cNvGrpSpPr>
      </xdr:nvGrpSpPr>
      <xdr:grpSpPr bwMode="auto">
        <a:xfrm>
          <a:off x="5100638" y="18892838"/>
          <a:ext cx="3219450" cy="457200"/>
          <a:chOff x="339" y="2029"/>
          <a:chExt cx="322" cy="48"/>
        </a:xfrm>
      </xdr:grpSpPr>
      <xdr:pic>
        <xdr:nvPicPr>
          <xdr:cNvPr id="26758" name="Picture 134">
            <a:extLst>
              <a:ext uri="{FF2B5EF4-FFF2-40B4-BE49-F238E27FC236}">
                <a16:creationId xmlns:a16="http://schemas.microsoft.com/office/drawing/2014/main" id="{00000000-0008-0000-0200-0000866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489" y="2029"/>
            <a:ext cx="172" cy="48"/>
          </a:xfrm>
          <a:prstGeom prst="rect">
            <a:avLst/>
          </a:prstGeom>
          <a:noFill/>
          <a:ln w="1">
            <a:noFill/>
            <a:miter lim="800000"/>
            <a:headEnd/>
            <a:tailEnd/>
          </a:ln>
          <a:effectLst/>
        </xdr:spPr>
      </xdr:pic>
      <xdr:pic>
        <xdr:nvPicPr>
          <xdr:cNvPr id="26759" name="Picture 135">
            <a:extLst>
              <a:ext uri="{FF2B5EF4-FFF2-40B4-BE49-F238E27FC236}">
                <a16:creationId xmlns:a16="http://schemas.microsoft.com/office/drawing/2014/main" id="{00000000-0008-0000-0200-00008768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339" y="2032"/>
            <a:ext cx="150" cy="45"/>
          </a:xfrm>
          <a:prstGeom prst="rect">
            <a:avLst/>
          </a:prstGeom>
          <a:noFill/>
          <a:ln w="1">
            <a:noFill/>
            <a:miter lim="800000"/>
            <a:headEnd/>
            <a:tailEnd/>
          </a:ln>
          <a:effectLst/>
        </xdr:spPr>
      </xdr:pic>
    </xdr:grpSp>
    <xdr:clientData/>
  </xdr:twoCellAnchor>
  <xdr:twoCellAnchor editAs="oneCell">
    <xdr:from>
      <xdr:col>26</xdr:col>
      <xdr:colOff>85725</xdr:colOff>
      <xdr:row>119</xdr:row>
      <xdr:rowOff>38100</xdr:rowOff>
    </xdr:from>
    <xdr:to>
      <xdr:col>94</xdr:col>
      <xdr:colOff>76200</xdr:colOff>
      <xdr:row>121</xdr:row>
      <xdr:rowOff>114300</xdr:rowOff>
    </xdr:to>
    <xdr:pic>
      <xdr:nvPicPr>
        <xdr:cNvPr id="26760" name="Picture 136">
          <a:extLst>
            <a:ext uri="{FF2B5EF4-FFF2-40B4-BE49-F238E27FC236}">
              <a16:creationId xmlns:a16="http://schemas.microsoft.com/office/drawing/2014/main" id="{00000000-0008-0000-0200-00008868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2514600" y="18059400"/>
          <a:ext cx="6467475" cy="400050"/>
        </a:xfrm>
        <a:prstGeom prst="rect">
          <a:avLst/>
        </a:prstGeom>
        <a:noFill/>
        <a:ln w="1">
          <a:noFill/>
          <a:miter lim="800000"/>
          <a:headEnd/>
          <a:tailEnd/>
        </a:ln>
        <a:effectLst/>
      </xdr:spPr>
    </xdr:pic>
    <xdr:clientData/>
  </xdr:twoCellAnchor>
  <xdr:twoCellAnchor editAs="oneCell">
    <xdr:from>
      <xdr:col>5</xdr:col>
      <xdr:colOff>9525</xdr:colOff>
      <xdr:row>174</xdr:row>
      <xdr:rowOff>104775</xdr:rowOff>
    </xdr:from>
    <xdr:to>
      <xdr:col>93</xdr:col>
      <xdr:colOff>0</xdr:colOff>
      <xdr:row>192</xdr:row>
      <xdr:rowOff>47625</xdr:rowOff>
    </xdr:to>
    <xdr:pic>
      <xdr:nvPicPr>
        <xdr:cNvPr id="26751" name="Picture 127">
          <a:extLst>
            <a:ext uri="{FF2B5EF4-FFF2-40B4-BE49-F238E27FC236}">
              <a16:creationId xmlns:a16="http://schemas.microsoft.com/office/drawing/2014/main" id="{00000000-0008-0000-0200-00007F68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438150" y="27031950"/>
          <a:ext cx="8372475" cy="2857500"/>
        </a:xfrm>
        <a:prstGeom prst="rect">
          <a:avLst/>
        </a:prstGeom>
        <a:noFill/>
        <a:ln w="1">
          <a:noFill/>
          <a:miter lim="800000"/>
          <a:headEnd/>
          <a:tailEnd/>
        </a:ln>
        <a:effectLst/>
      </xdr:spPr>
    </xdr:pic>
    <xdr:clientData/>
  </xdr:twoCellAnchor>
  <xdr:twoCellAnchor editAs="oneCell">
    <xdr:from>
      <xdr:col>5</xdr:col>
      <xdr:colOff>19050</xdr:colOff>
      <xdr:row>95</xdr:row>
      <xdr:rowOff>85725</xdr:rowOff>
    </xdr:from>
    <xdr:to>
      <xdr:col>90</xdr:col>
      <xdr:colOff>85725</xdr:colOff>
      <xdr:row>109</xdr:row>
      <xdr:rowOff>95250</xdr:rowOff>
    </xdr:to>
    <xdr:pic>
      <xdr:nvPicPr>
        <xdr:cNvPr id="26750" name="Picture 126">
          <a:extLst>
            <a:ext uri="{FF2B5EF4-FFF2-40B4-BE49-F238E27FC236}">
              <a16:creationId xmlns:a16="http://schemas.microsoft.com/office/drawing/2014/main" id="{00000000-0008-0000-0200-00007E68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447675" y="14220825"/>
          <a:ext cx="8162925" cy="2276475"/>
        </a:xfrm>
        <a:prstGeom prst="rect">
          <a:avLst/>
        </a:prstGeom>
        <a:noFill/>
        <a:ln w="1">
          <a:noFill/>
          <a:miter lim="800000"/>
          <a:headEnd/>
          <a:tailEnd/>
        </a:ln>
        <a:effectLst/>
      </xdr:spPr>
    </xdr:pic>
    <xdr:clientData/>
  </xdr:twoCellAnchor>
  <xdr:twoCellAnchor>
    <xdr:from>
      <xdr:col>82</xdr:col>
      <xdr:colOff>76200</xdr:colOff>
      <xdr:row>8</xdr:row>
      <xdr:rowOff>0</xdr:rowOff>
    </xdr:from>
    <xdr:to>
      <xdr:col>84</xdr:col>
      <xdr:colOff>9525</xdr:colOff>
      <xdr:row>10</xdr:row>
      <xdr:rowOff>123825</xdr:rowOff>
    </xdr:to>
    <xdr:sp macro="" textlink="">
      <xdr:nvSpPr>
        <xdr:cNvPr id="26625" name="AutoShape 1">
          <a:extLst>
            <a:ext uri="{FF2B5EF4-FFF2-40B4-BE49-F238E27FC236}">
              <a16:creationId xmlns:a16="http://schemas.microsoft.com/office/drawing/2014/main" id="{00000000-0008-0000-0200-000001680000}"/>
            </a:ext>
          </a:extLst>
        </xdr:cNvPr>
        <xdr:cNvSpPr>
          <a:spLocks/>
        </xdr:cNvSpPr>
      </xdr:nvSpPr>
      <xdr:spPr bwMode="auto">
        <a:xfrm>
          <a:off x="7839075" y="1133475"/>
          <a:ext cx="123825" cy="390525"/>
        </a:xfrm>
        <a:prstGeom prst="rightBrace">
          <a:avLst>
            <a:gd name="adj1" fmla="val 26282"/>
            <a:gd name="adj2" fmla="val 50000"/>
          </a:avLst>
        </a:prstGeom>
        <a:noFill/>
        <a:ln w="9525">
          <a:solidFill>
            <a:srgbClr val="000000"/>
          </a:solidFill>
          <a:round/>
          <a:headEnd/>
          <a:tailEnd/>
        </a:ln>
      </xdr:spPr>
    </xdr:sp>
    <xdr:clientData/>
  </xdr:twoCellAnchor>
  <xdr:twoCellAnchor>
    <xdr:from>
      <xdr:col>84</xdr:col>
      <xdr:colOff>57150</xdr:colOff>
      <xdr:row>8</xdr:row>
      <xdr:rowOff>104775</xdr:rowOff>
    </xdr:from>
    <xdr:to>
      <xdr:col>95</xdr:col>
      <xdr:colOff>57150</xdr:colOff>
      <xdr:row>10</xdr:row>
      <xdr:rowOff>85725</xdr:rowOff>
    </xdr:to>
    <xdr:sp macro="" textlink="">
      <xdr:nvSpPr>
        <xdr:cNvPr id="26626" name="Text Box 2">
          <a:extLst>
            <a:ext uri="{FF2B5EF4-FFF2-40B4-BE49-F238E27FC236}">
              <a16:creationId xmlns:a16="http://schemas.microsoft.com/office/drawing/2014/main" id="{00000000-0008-0000-0200-000002680000}"/>
            </a:ext>
          </a:extLst>
        </xdr:cNvPr>
        <xdr:cNvSpPr txBox="1">
          <a:spLocks noChangeArrowheads="1"/>
        </xdr:cNvSpPr>
      </xdr:nvSpPr>
      <xdr:spPr bwMode="auto">
        <a:xfrm>
          <a:off x="8010525" y="1238250"/>
          <a:ext cx="1047750" cy="24765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Header</a:t>
          </a:r>
        </a:p>
      </xdr:txBody>
    </xdr:sp>
    <xdr:clientData/>
  </xdr:twoCellAnchor>
  <xdr:twoCellAnchor>
    <xdr:from>
      <xdr:col>83</xdr:col>
      <xdr:colOff>0</xdr:colOff>
      <xdr:row>11</xdr:row>
      <xdr:rowOff>19050</xdr:rowOff>
    </xdr:from>
    <xdr:to>
      <xdr:col>83</xdr:col>
      <xdr:colOff>85725</xdr:colOff>
      <xdr:row>14</xdr:row>
      <xdr:rowOff>66675</xdr:rowOff>
    </xdr:to>
    <xdr:sp macro="" textlink="">
      <xdr:nvSpPr>
        <xdr:cNvPr id="26627" name="AutoShape 3">
          <a:extLst>
            <a:ext uri="{FF2B5EF4-FFF2-40B4-BE49-F238E27FC236}">
              <a16:creationId xmlns:a16="http://schemas.microsoft.com/office/drawing/2014/main" id="{00000000-0008-0000-0200-000003680000}"/>
            </a:ext>
          </a:extLst>
        </xdr:cNvPr>
        <xdr:cNvSpPr>
          <a:spLocks/>
        </xdr:cNvSpPr>
      </xdr:nvSpPr>
      <xdr:spPr bwMode="auto">
        <a:xfrm>
          <a:off x="7858125" y="1552575"/>
          <a:ext cx="85725" cy="447675"/>
        </a:xfrm>
        <a:prstGeom prst="rightBrace">
          <a:avLst>
            <a:gd name="adj1" fmla="val 43519"/>
            <a:gd name="adj2" fmla="val 50000"/>
          </a:avLst>
        </a:prstGeom>
        <a:noFill/>
        <a:ln w="9525">
          <a:solidFill>
            <a:srgbClr val="000000"/>
          </a:solidFill>
          <a:round/>
          <a:headEnd/>
          <a:tailEnd/>
        </a:ln>
      </xdr:spPr>
    </xdr:sp>
    <xdr:clientData/>
  </xdr:twoCellAnchor>
  <xdr:twoCellAnchor>
    <xdr:from>
      <xdr:col>84</xdr:col>
      <xdr:colOff>19050</xdr:colOff>
      <xdr:row>11</xdr:row>
      <xdr:rowOff>104775</xdr:rowOff>
    </xdr:from>
    <xdr:to>
      <xdr:col>98</xdr:col>
      <xdr:colOff>19050</xdr:colOff>
      <xdr:row>13</xdr:row>
      <xdr:rowOff>85725</xdr:rowOff>
    </xdr:to>
    <xdr:sp macro="" textlink="">
      <xdr:nvSpPr>
        <xdr:cNvPr id="26628" name="Text Box 4">
          <a:extLst>
            <a:ext uri="{FF2B5EF4-FFF2-40B4-BE49-F238E27FC236}">
              <a16:creationId xmlns:a16="http://schemas.microsoft.com/office/drawing/2014/main" id="{00000000-0008-0000-0200-000004680000}"/>
            </a:ext>
          </a:extLst>
        </xdr:cNvPr>
        <xdr:cNvSpPr txBox="1">
          <a:spLocks noChangeArrowheads="1"/>
        </xdr:cNvSpPr>
      </xdr:nvSpPr>
      <xdr:spPr bwMode="auto">
        <a:xfrm>
          <a:off x="7972425" y="1638300"/>
          <a:ext cx="1333500" cy="24765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Overview Schedule</a:t>
          </a:r>
        </a:p>
      </xdr:txBody>
    </xdr:sp>
    <xdr:clientData/>
  </xdr:twoCellAnchor>
  <xdr:twoCellAnchor>
    <xdr:from>
      <xdr:col>83</xdr:col>
      <xdr:colOff>19050</xdr:colOff>
      <xdr:row>22</xdr:row>
      <xdr:rowOff>57150</xdr:rowOff>
    </xdr:from>
    <xdr:to>
      <xdr:col>84</xdr:col>
      <xdr:colOff>47625</xdr:colOff>
      <xdr:row>31</xdr:row>
      <xdr:rowOff>104775</xdr:rowOff>
    </xdr:to>
    <xdr:sp macro="" textlink="">
      <xdr:nvSpPr>
        <xdr:cNvPr id="26629" name="AutoShape 5">
          <a:extLst>
            <a:ext uri="{FF2B5EF4-FFF2-40B4-BE49-F238E27FC236}">
              <a16:creationId xmlns:a16="http://schemas.microsoft.com/office/drawing/2014/main" id="{00000000-0008-0000-0200-000005680000}"/>
            </a:ext>
          </a:extLst>
        </xdr:cNvPr>
        <xdr:cNvSpPr>
          <a:spLocks/>
        </xdr:cNvSpPr>
      </xdr:nvSpPr>
      <xdr:spPr bwMode="auto">
        <a:xfrm>
          <a:off x="7877175" y="3057525"/>
          <a:ext cx="123825" cy="1247775"/>
        </a:xfrm>
        <a:prstGeom prst="rightBrace">
          <a:avLst>
            <a:gd name="adj1" fmla="val 83974"/>
            <a:gd name="adj2" fmla="val 50000"/>
          </a:avLst>
        </a:prstGeom>
        <a:noFill/>
        <a:ln w="9525">
          <a:solidFill>
            <a:srgbClr val="000000"/>
          </a:solidFill>
          <a:round/>
          <a:headEnd/>
          <a:tailEnd/>
        </a:ln>
      </xdr:spPr>
    </xdr:sp>
    <xdr:clientData/>
  </xdr:twoCellAnchor>
  <xdr:twoCellAnchor>
    <xdr:from>
      <xdr:col>85</xdr:col>
      <xdr:colOff>0</xdr:colOff>
      <xdr:row>25</xdr:row>
      <xdr:rowOff>123825</xdr:rowOff>
    </xdr:from>
    <xdr:to>
      <xdr:col>99</xdr:col>
      <xdr:colOff>0</xdr:colOff>
      <xdr:row>30</xdr:row>
      <xdr:rowOff>38100</xdr:rowOff>
    </xdr:to>
    <xdr:sp macro="" textlink="">
      <xdr:nvSpPr>
        <xdr:cNvPr id="26630" name="Text Box 6">
          <a:extLst>
            <a:ext uri="{FF2B5EF4-FFF2-40B4-BE49-F238E27FC236}">
              <a16:creationId xmlns:a16="http://schemas.microsoft.com/office/drawing/2014/main" id="{00000000-0008-0000-0200-000006680000}"/>
            </a:ext>
          </a:extLst>
        </xdr:cNvPr>
        <xdr:cNvSpPr txBox="1">
          <a:spLocks noChangeArrowheads="1"/>
        </xdr:cNvSpPr>
      </xdr:nvSpPr>
      <xdr:spPr bwMode="auto">
        <a:xfrm>
          <a:off x="8048625" y="3524250"/>
          <a:ext cx="1333500" cy="58102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Testing &amp; Quality Statistics</a:t>
          </a:r>
        </a:p>
      </xdr:txBody>
    </xdr:sp>
    <xdr:clientData/>
  </xdr:twoCellAnchor>
  <xdr:twoCellAnchor>
    <xdr:from>
      <xdr:col>83</xdr:col>
      <xdr:colOff>38100</xdr:colOff>
      <xdr:row>32</xdr:row>
      <xdr:rowOff>9525</xdr:rowOff>
    </xdr:from>
    <xdr:to>
      <xdr:col>84</xdr:col>
      <xdr:colOff>9525</xdr:colOff>
      <xdr:row>44</xdr:row>
      <xdr:rowOff>47625</xdr:rowOff>
    </xdr:to>
    <xdr:sp macro="" textlink="">
      <xdr:nvSpPr>
        <xdr:cNvPr id="26631" name="AutoShape 7">
          <a:extLst>
            <a:ext uri="{FF2B5EF4-FFF2-40B4-BE49-F238E27FC236}">
              <a16:creationId xmlns:a16="http://schemas.microsoft.com/office/drawing/2014/main" id="{00000000-0008-0000-0200-000007680000}"/>
            </a:ext>
          </a:extLst>
        </xdr:cNvPr>
        <xdr:cNvSpPr>
          <a:spLocks/>
        </xdr:cNvSpPr>
      </xdr:nvSpPr>
      <xdr:spPr bwMode="auto">
        <a:xfrm>
          <a:off x="7896225" y="4343400"/>
          <a:ext cx="66675" cy="1638300"/>
        </a:xfrm>
        <a:prstGeom prst="rightBrace">
          <a:avLst>
            <a:gd name="adj1" fmla="val 204762"/>
            <a:gd name="adj2" fmla="val 50000"/>
          </a:avLst>
        </a:prstGeom>
        <a:noFill/>
        <a:ln w="9525">
          <a:solidFill>
            <a:srgbClr val="000000"/>
          </a:solidFill>
          <a:round/>
          <a:headEnd/>
          <a:tailEnd/>
        </a:ln>
      </xdr:spPr>
    </xdr:sp>
    <xdr:clientData/>
  </xdr:twoCellAnchor>
  <xdr:twoCellAnchor>
    <xdr:from>
      <xdr:col>85</xdr:col>
      <xdr:colOff>9525</xdr:colOff>
      <xdr:row>36</xdr:row>
      <xdr:rowOff>104775</xdr:rowOff>
    </xdr:from>
    <xdr:to>
      <xdr:col>99</xdr:col>
      <xdr:colOff>9525</xdr:colOff>
      <xdr:row>41</xdr:row>
      <xdr:rowOff>19050</xdr:rowOff>
    </xdr:to>
    <xdr:sp macro="" textlink="">
      <xdr:nvSpPr>
        <xdr:cNvPr id="26632" name="Text Box 8">
          <a:extLst>
            <a:ext uri="{FF2B5EF4-FFF2-40B4-BE49-F238E27FC236}">
              <a16:creationId xmlns:a16="http://schemas.microsoft.com/office/drawing/2014/main" id="{00000000-0008-0000-0200-000008680000}"/>
            </a:ext>
          </a:extLst>
        </xdr:cNvPr>
        <xdr:cNvSpPr txBox="1">
          <a:spLocks noChangeArrowheads="1"/>
        </xdr:cNvSpPr>
      </xdr:nvSpPr>
      <xdr:spPr bwMode="auto">
        <a:xfrm>
          <a:off x="8058150" y="4972050"/>
          <a:ext cx="1333500" cy="581025"/>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Progress Status, Quality, Actions and Issues</a:t>
          </a:r>
        </a:p>
      </xdr:txBody>
    </xdr:sp>
    <xdr:clientData/>
  </xdr:twoCellAnchor>
  <xdr:twoCellAnchor>
    <xdr:from>
      <xdr:col>83</xdr:col>
      <xdr:colOff>47625</xdr:colOff>
      <xdr:row>44</xdr:row>
      <xdr:rowOff>76200</xdr:rowOff>
    </xdr:from>
    <xdr:to>
      <xdr:col>84</xdr:col>
      <xdr:colOff>47625</xdr:colOff>
      <xdr:row>46</xdr:row>
      <xdr:rowOff>9525</xdr:rowOff>
    </xdr:to>
    <xdr:sp macro="" textlink="">
      <xdr:nvSpPr>
        <xdr:cNvPr id="26633" name="AutoShape 9">
          <a:extLst>
            <a:ext uri="{FF2B5EF4-FFF2-40B4-BE49-F238E27FC236}">
              <a16:creationId xmlns:a16="http://schemas.microsoft.com/office/drawing/2014/main" id="{00000000-0008-0000-0200-000009680000}"/>
            </a:ext>
          </a:extLst>
        </xdr:cNvPr>
        <xdr:cNvSpPr>
          <a:spLocks/>
        </xdr:cNvSpPr>
      </xdr:nvSpPr>
      <xdr:spPr bwMode="auto">
        <a:xfrm>
          <a:off x="7905750" y="6010275"/>
          <a:ext cx="95250" cy="200025"/>
        </a:xfrm>
        <a:prstGeom prst="rightBrace">
          <a:avLst>
            <a:gd name="adj1" fmla="val 17500"/>
            <a:gd name="adj2" fmla="val 50000"/>
          </a:avLst>
        </a:prstGeom>
        <a:noFill/>
        <a:ln w="9525">
          <a:solidFill>
            <a:srgbClr val="000000"/>
          </a:solidFill>
          <a:round/>
          <a:headEnd/>
          <a:tailEnd/>
        </a:ln>
      </xdr:spPr>
    </xdr:sp>
    <xdr:clientData/>
  </xdr:twoCellAnchor>
  <xdr:twoCellAnchor>
    <xdr:from>
      <xdr:col>85</xdr:col>
      <xdr:colOff>57150</xdr:colOff>
      <xdr:row>44</xdr:row>
      <xdr:rowOff>76200</xdr:rowOff>
    </xdr:from>
    <xdr:to>
      <xdr:col>96</xdr:col>
      <xdr:colOff>57150</xdr:colOff>
      <xdr:row>46</xdr:row>
      <xdr:rowOff>57150</xdr:rowOff>
    </xdr:to>
    <xdr:sp macro="" textlink="">
      <xdr:nvSpPr>
        <xdr:cNvPr id="26634" name="Text Box 10">
          <a:extLst>
            <a:ext uri="{FF2B5EF4-FFF2-40B4-BE49-F238E27FC236}">
              <a16:creationId xmlns:a16="http://schemas.microsoft.com/office/drawing/2014/main" id="{00000000-0008-0000-0200-00000A680000}"/>
            </a:ext>
          </a:extLst>
        </xdr:cNvPr>
        <xdr:cNvSpPr txBox="1">
          <a:spLocks noChangeArrowheads="1"/>
        </xdr:cNvSpPr>
      </xdr:nvSpPr>
      <xdr:spPr bwMode="auto">
        <a:xfrm>
          <a:off x="8105775" y="6010275"/>
          <a:ext cx="1047750" cy="24765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Footer</a:t>
          </a:r>
        </a:p>
      </xdr:txBody>
    </xdr:sp>
    <xdr:clientData/>
  </xdr:twoCellAnchor>
  <xdr:twoCellAnchor>
    <xdr:from>
      <xdr:col>17</xdr:col>
      <xdr:colOff>9525</xdr:colOff>
      <xdr:row>86</xdr:row>
      <xdr:rowOff>0</xdr:rowOff>
    </xdr:from>
    <xdr:to>
      <xdr:col>21</xdr:col>
      <xdr:colOff>57150</xdr:colOff>
      <xdr:row>89</xdr:row>
      <xdr:rowOff>66675</xdr:rowOff>
    </xdr:to>
    <xdr:grpSp>
      <xdr:nvGrpSpPr>
        <xdr:cNvPr id="26635" name="Group 11">
          <a:extLst>
            <a:ext uri="{FF2B5EF4-FFF2-40B4-BE49-F238E27FC236}">
              <a16:creationId xmlns:a16="http://schemas.microsoft.com/office/drawing/2014/main" id="{00000000-0008-0000-0200-00000B680000}"/>
            </a:ext>
          </a:extLst>
        </xdr:cNvPr>
        <xdr:cNvGrpSpPr>
          <a:grpSpLocks/>
        </xdr:cNvGrpSpPr>
      </xdr:nvGrpSpPr>
      <xdr:grpSpPr bwMode="auto">
        <a:xfrm>
          <a:off x="1662113" y="12882563"/>
          <a:ext cx="447675" cy="552450"/>
          <a:chOff x="166" y="1350"/>
          <a:chExt cx="45" cy="58"/>
        </a:xfrm>
      </xdr:grpSpPr>
      <xdr:sp macro="" textlink="">
        <xdr:nvSpPr>
          <xdr:cNvPr id="26636" name="AutoShape 12">
            <a:extLst>
              <a:ext uri="{FF2B5EF4-FFF2-40B4-BE49-F238E27FC236}">
                <a16:creationId xmlns:a16="http://schemas.microsoft.com/office/drawing/2014/main" id="{00000000-0008-0000-0200-00000C680000}"/>
              </a:ext>
            </a:extLst>
          </xdr:cNvPr>
          <xdr:cNvSpPr>
            <a:spLocks noChangeArrowheads="1"/>
          </xdr:cNvSpPr>
        </xdr:nvSpPr>
        <xdr:spPr bwMode="auto">
          <a:xfrm>
            <a:off x="166" y="1350"/>
            <a:ext cx="45" cy="19"/>
          </a:xfrm>
          <a:prstGeom prst="flowChartDecision">
            <a:avLst/>
          </a:prstGeom>
          <a:solidFill>
            <a:srgbClr val="FFFFFF"/>
          </a:solidFill>
          <a:ln w="9525">
            <a:solidFill>
              <a:srgbClr val="FF0000"/>
            </a:solidFill>
            <a:miter lim="800000"/>
            <a:headEnd/>
            <a:tailEnd/>
          </a:ln>
        </xdr:spPr>
      </xdr:sp>
      <xdr:sp macro="" textlink="">
        <xdr:nvSpPr>
          <xdr:cNvPr id="26637" name="Line 13">
            <a:extLst>
              <a:ext uri="{FF2B5EF4-FFF2-40B4-BE49-F238E27FC236}">
                <a16:creationId xmlns:a16="http://schemas.microsoft.com/office/drawing/2014/main" id="{00000000-0008-0000-0200-00000D680000}"/>
              </a:ext>
            </a:extLst>
          </xdr:cNvPr>
          <xdr:cNvSpPr>
            <a:spLocks noChangeShapeType="1"/>
          </xdr:cNvSpPr>
        </xdr:nvSpPr>
        <xdr:spPr bwMode="auto">
          <a:xfrm>
            <a:off x="188" y="1368"/>
            <a:ext cx="0" cy="40"/>
          </a:xfrm>
          <a:prstGeom prst="line">
            <a:avLst/>
          </a:prstGeom>
          <a:noFill/>
          <a:ln w="9525">
            <a:solidFill>
              <a:srgbClr val="FF0000"/>
            </a:solidFill>
            <a:round/>
            <a:headEnd/>
            <a:tailEnd/>
          </a:ln>
        </xdr:spPr>
      </xdr:sp>
    </xdr:grpSp>
    <xdr:clientData/>
  </xdr:twoCellAnchor>
  <xdr:twoCellAnchor>
    <xdr:from>
      <xdr:col>16</xdr:col>
      <xdr:colOff>28575</xdr:colOff>
      <xdr:row>84</xdr:row>
      <xdr:rowOff>142875</xdr:rowOff>
    </xdr:from>
    <xdr:to>
      <xdr:col>24</xdr:col>
      <xdr:colOff>57150</xdr:colOff>
      <xdr:row>85</xdr:row>
      <xdr:rowOff>152400</xdr:rowOff>
    </xdr:to>
    <xdr:sp macro="" textlink="">
      <xdr:nvSpPr>
        <xdr:cNvPr id="26638" name="Text Box 14">
          <a:extLst>
            <a:ext uri="{FF2B5EF4-FFF2-40B4-BE49-F238E27FC236}">
              <a16:creationId xmlns:a16="http://schemas.microsoft.com/office/drawing/2014/main" id="{00000000-0008-0000-0200-00000E680000}"/>
            </a:ext>
          </a:extLst>
        </xdr:cNvPr>
        <xdr:cNvSpPr txBox="1">
          <a:spLocks noChangeArrowheads="1"/>
        </xdr:cNvSpPr>
      </xdr:nvSpPr>
      <xdr:spPr bwMode="auto">
        <a:xfrm>
          <a:off x="1504950" y="12496800"/>
          <a:ext cx="790575" cy="17145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80"/>
              </a:solidFill>
              <a:latin typeface="Arial"/>
              <a:cs typeface="Arial"/>
            </a:rPr>
            <a:t>On schedule</a:t>
          </a:r>
        </a:p>
      </xdr:txBody>
    </xdr:sp>
    <xdr:clientData/>
  </xdr:twoCellAnchor>
  <xdr:twoCellAnchor>
    <xdr:from>
      <xdr:col>27</xdr:col>
      <xdr:colOff>66675</xdr:colOff>
      <xdr:row>85</xdr:row>
      <xdr:rowOff>152400</xdr:rowOff>
    </xdr:from>
    <xdr:to>
      <xdr:col>32</xdr:col>
      <xdr:colOff>19050</xdr:colOff>
      <xdr:row>89</xdr:row>
      <xdr:rowOff>85725</xdr:rowOff>
    </xdr:to>
    <xdr:grpSp>
      <xdr:nvGrpSpPr>
        <xdr:cNvPr id="26639" name="Group 15">
          <a:extLst>
            <a:ext uri="{FF2B5EF4-FFF2-40B4-BE49-F238E27FC236}">
              <a16:creationId xmlns:a16="http://schemas.microsoft.com/office/drawing/2014/main" id="{00000000-0008-0000-0200-00000F680000}"/>
            </a:ext>
          </a:extLst>
        </xdr:cNvPr>
        <xdr:cNvGrpSpPr>
          <a:grpSpLocks/>
        </xdr:cNvGrpSpPr>
      </xdr:nvGrpSpPr>
      <xdr:grpSpPr bwMode="auto">
        <a:xfrm>
          <a:off x="2719388" y="12873038"/>
          <a:ext cx="452437" cy="581025"/>
          <a:chOff x="271" y="1347"/>
          <a:chExt cx="45" cy="61"/>
        </a:xfrm>
      </xdr:grpSpPr>
      <xdr:sp macro="" textlink="">
        <xdr:nvSpPr>
          <xdr:cNvPr id="26640" name="AutoShape 16">
            <a:extLst>
              <a:ext uri="{FF2B5EF4-FFF2-40B4-BE49-F238E27FC236}">
                <a16:creationId xmlns:a16="http://schemas.microsoft.com/office/drawing/2014/main" id="{00000000-0008-0000-0200-000010680000}"/>
              </a:ext>
            </a:extLst>
          </xdr:cNvPr>
          <xdr:cNvSpPr>
            <a:spLocks noChangeArrowheads="1"/>
          </xdr:cNvSpPr>
        </xdr:nvSpPr>
        <xdr:spPr bwMode="auto">
          <a:xfrm>
            <a:off x="271" y="1347"/>
            <a:ext cx="45" cy="19"/>
          </a:xfrm>
          <a:prstGeom prst="flowChartDecision">
            <a:avLst/>
          </a:prstGeom>
          <a:solidFill>
            <a:srgbClr val="FFFFFF"/>
          </a:solidFill>
          <a:ln w="9525">
            <a:solidFill>
              <a:srgbClr val="FF0000"/>
            </a:solidFill>
            <a:miter lim="800000"/>
            <a:headEnd/>
            <a:tailEnd/>
          </a:ln>
        </xdr:spPr>
      </xdr:sp>
      <xdr:sp macro="" textlink="">
        <xdr:nvSpPr>
          <xdr:cNvPr id="26641" name="Line 17">
            <a:extLst>
              <a:ext uri="{FF2B5EF4-FFF2-40B4-BE49-F238E27FC236}">
                <a16:creationId xmlns:a16="http://schemas.microsoft.com/office/drawing/2014/main" id="{00000000-0008-0000-0200-000011680000}"/>
              </a:ext>
            </a:extLst>
          </xdr:cNvPr>
          <xdr:cNvSpPr>
            <a:spLocks noChangeShapeType="1"/>
          </xdr:cNvSpPr>
        </xdr:nvSpPr>
        <xdr:spPr bwMode="auto">
          <a:xfrm>
            <a:off x="293" y="1366"/>
            <a:ext cx="0" cy="19"/>
          </a:xfrm>
          <a:prstGeom prst="line">
            <a:avLst/>
          </a:prstGeom>
          <a:noFill/>
          <a:ln w="9525">
            <a:solidFill>
              <a:srgbClr val="FF0000"/>
            </a:solidFill>
            <a:round/>
            <a:headEnd/>
            <a:tailEnd/>
          </a:ln>
        </xdr:spPr>
      </xdr:sp>
      <xdr:sp macro="" textlink="">
        <xdr:nvSpPr>
          <xdr:cNvPr id="26642" name="Line 18">
            <a:extLst>
              <a:ext uri="{FF2B5EF4-FFF2-40B4-BE49-F238E27FC236}">
                <a16:creationId xmlns:a16="http://schemas.microsoft.com/office/drawing/2014/main" id="{00000000-0008-0000-0200-000012680000}"/>
              </a:ext>
            </a:extLst>
          </xdr:cNvPr>
          <xdr:cNvSpPr>
            <a:spLocks noChangeShapeType="1"/>
          </xdr:cNvSpPr>
        </xdr:nvSpPr>
        <xdr:spPr bwMode="auto">
          <a:xfrm flipH="1">
            <a:off x="275" y="1385"/>
            <a:ext cx="18" cy="4"/>
          </a:xfrm>
          <a:prstGeom prst="line">
            <a:avLst/>
          </a:prstGeom>
          <a:noFill/>
          <a:ln w="9525">
            <a:solidFill>
              <a:srgbClr val="FF0000"/>
            </a:solidFill>
            <a:round/>
            <a:headEnd/>
            <a:tailEnd/>
          </a:ln>
        </xdr:spPr>
      </xdr:sp>
      <xdr:sp macro="" textlink="">
        <xdr:nvSpPr>
          <xdr:cNvPr id="26643" name="Line 19">
            <a:extLst>
              <a:ext uri="{FF2B5EF4-FFF2-40B4-BE49-F238E27FC236}">
                <a16:creationId xmlns:a16="http://schemas.microsoft.com/office/drawing/2014/main" id="{00000000-0008-0000-0200-000013680000}"/>
              </a:ext>
            </a:extLst>
          </xdr:cNvPr>
          <xdr:cNvSpPr>
            <a:spLocks noChangeShapeType="1"/>
          </xdr:cNvSpPr>
        </xdr:nvSpPr>
        <xdr:spPr bwMode="auto">
          <a:xfrm>
            <a:off x="276" y="1389"/>
            <a:ext cx="18" cy="4"/>
          </a:xfrm>
          <a:prstGeom prst="line">
            <a:avLst/>
          </a:prstGeom>
          <a:noFill/>
          <a:ln w="9525">
            <a:solidFill>
              <a:srgbClr val="FF0000"/>
            </a:solidFill>
            <a:round/>
            <a:headEnd/>
            <a:tailEnd/>
          </a:ln>
        </xdr:spPr>
      </xdr:sp>
      <xdr:sp macro="" textlink="">
        <xdr:nvSpPr>
          <xdr:cNvPr id="26644" name="Line 20">
            <a:extLst>
              <a:ext uri="{FF2B5EF4-FFF2-40B4-BE49-F238E27FC236}">
                <a16:creationId xmlns:a16="http://schemas.microsoft.com/office/drawing/2014/main" id="{00000000-0008-0000-0200-000014680000}"/>
              </a:ext>
            </a:extLst>
          </xdr:cNvPr>
          <xdr:cNvSpPr>
            <a:spLocks noChangeShapeType="1"/>
          </xdr:cNvSpPr>
        </xdr:nvSpPr>
        <xdr:spPr bwMode="auto">
          <a:xfrm>
            <a:off x="293" y="1393"/>
            <a:ext cx="0" cy="15"/>
          </a:xfrm>
          <a:prstGeom prst="line">
            <a:avLst/>
          </a:prstGeom>
          <a:noFill/>
          <a:ln w="9525">
            <a:solidFill>
              <a:srgbClr val="FF0000"/>
            </a:solidFill>
            <a:round/>
            <a:headEnd/>
            <a:tailEnd/>
          </a:ln>
        </xdr:spPr>
      </xdr:sp>
    </xdr:grpSp>
    <xdr:clientData/>
  </xdr:twoCellAnchor>
  <xdr:twoCellAnchor>
    <xdr:from>
      <xdr:col>28</xdr:col>
      <xdr:colOff>28575</xdr:colOff>
      <xdr:row>84</xdr:row>
      <xdr:rowOff>142875</xdr:rowOff>
    </xdr:from>
    <xdr:to>
      <xdr:col>34</xdr:col>
      <xdr:colOff>38100</xdr:colOff>
      <xdr:row>85</xdr:row>
      <xdr:rowOff>142875</xdr:rowOff>
    </xdr:to>
    <xdr:sp macro="" textlink="">
      <xdr:nvSpPr>
        <xdr:cNvPr id="26645" name="Text Box 21">
          <a:extLst>
            <a:ext uri="{FF2B5EF4-FFF2-40B4-BE49-F238E27FC236}">
              <a16:creationId xmlns:a16="http://schemas.microsoft.com/office/drawing/2014/main" id="{00000000-0008-0000-0200-000015680000}"/>
            </a:ext>
          </a:extLst>
        </xdr:cNvPr>
        <xdr:cNvSpPr txBox="1">
          <a:spLocks noChangeArrowheads="1"/>
        </xdr:cNvSpPr>
      </xdr:nvSpPr>
      <xdr:spPr bwMode="auto">
        <a:xfrm>
          <a:off x="2647950" y="12496800"/>
          <a:ext cx="581025" cy="1619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80"/>
              </a:solidFill>
              <a:latin typeface="Arial"/>
              <a:cs typeface="Arial"/>
            </a:rPr>
            <a:t>Delay</a:t>
          </a:r>
        </a:p>
      </xdr:txBody>
    </xdr:sp>
    <xdr:clientData/>
  </xdr:twoCellAnchor>
  <xdr:twoCellAnchor>
    <xdr:from>
      <xdr:col>38</xdr:col>
      <xdr:colOff>47625</xdr:colOff>
      <xdr:row>85</xdr:row>
      <xdr:rowOff>152400</xdr:rowOff>
    </xdr:from>
    <xdr:to>
      <xdr:col>43</xdr:col>
      <xdr:colOff>0</xdr:colOff>
      <xdr:row>89</xdr:row>
      <xdr:rowOff>85725</xdr:rowOff>
    </xdr:to>
    <xdr:grpSp>
      <xdr:nvGrpSpPr>
        <xdr:cNvPr id="26646" name="Group 22">
          <a:extLst>
            <a:ext uri="{FF2B5EF4-FFF2-40B4-BE49-F238E27FC236}">
              <a16:creationId xmlns:a16="http://schemas.microsoft.com/office/drawing/2014/main" id="{00000000-0008-0000-0200-000016680000}"/>
            </a:ext>
          </a:extLst>
        </xdr:cNvPr>
        <xdr:cNvGrpSpPr>
          <a:grpSpLocks/>
        </xdr:cNvGrpSpPr>
      </xdr:nvGrpSpPr>
      <xdr:grpSpPr bwMode="auto">
        <a:xfrm>
          <a:off x="3800475" y="12873038"/>
          <a:ext cx="452438" cy="581025"/>
          <a:chOff x="384" y="1349"/>
          <a:chExt cx="45" cy="61"/>
        </a:xfrm>
      </xdr:grpSpPr>
      <xdr:sp macro="" textlink="">
        <xdr:nvSpPr>
          <xdr:cNvPr id="26647" name="AutoShape 23">
            <a:extLst>
              <a:ext uri="{FF2B5EF4-FFF2-40B4-BE49-F238E27FC236}">
                <a16:creationId xmlns:a16="http://schemas.microsoft.com/office/drawing/2014/main" id="{00000000-0008-0000-0200-000017680000}"/>
              </a:ext>
            </a:extLst>
          </xdr:cNvPr>
          <xdr:cNvSpPr>
            <a:spLocks noChangeArrowheads="1"/>
          </xdr:cNvSpPr>
        </xdr:nvSpPr>
        <xdr:spPr bwMode="auto">
          <a:xfrm>
            <a:off x="384" y="1349"/>
            <a:ext cx="45" cy="19"/>
          </a:xfrm>
          <a:prstGeom prst="flowChartDecision">
            <a:avLst/>
          </a:prstGeom>
          <a:solidFill>
            <a:srgbClr val="FFFFFF"/>
          </a:solidFill>
          <a:ln w="9525">
            <a:solidFill>
              <a:srgbClr val="FF0000"/>
            </a:solidFill>
            <a:miter lim="800000"/>
            <a:headEnd/>
            <a:tailEnd/>
          </a:ln>
        </xdr:spPr>
      </xdr:sp>
      <xdr:sp macro="" textlink="">
        <xdr:nvSpPr>
          <xdr:cNvPr id="26648" name="Line 24">
            <a:extLst>
              <a:ext uri="{FF2B5EF4-FFF2-40B4-BE49-F238E27FC236}">
                <a16:creationId xmlns:a16="http://schemas.microsoft.com/office/drawing/2014/main" id="{00000000-0008-0000-0200-000018680000}"/>
              </a:ext>
            </a:extLst>
          </xdr:cNvPr>
          <xdr:cNvSpPr>
            <a:spLocks noChangeShapeType="1"/>
          </xdr:cNvSpPr>
        </xdr:nvSpPr>
        <xdr:spPr bwMode="auto">
          <a:xfrm>
            <a:off x="406" y="1368"/>
            <a:ext cx="0" cy="16"/>
          </a:xfrm>
          <a:prstGeom prst="line">
            <a:avLst/>
          </a:prstGeom>
          <a:noFill/>
          <a:ln w="9525">
            <a:solidFill>
              <a:srgbClr val="FF0000"/>
            </a:solidFill>
            <a:round/>
            <a:headEnd/>
            <a:tailEnd/>
          </a:ln>
        </xdr:spPr>
      </xdr:sp>
      <xdr:sp macro="" textlink="">
        <xdr:nvSpPr>
          <xdr:cNvPr id="26649" name="Line 25">
            <a:extLst>
              <a:ext uri="{FF2B5EF4-FFF2-40B4-BE49-F238E27FC236}">
                <a16:creationId xmlns:a16="http://schemas.microsoft.com/office/drawing/2014/main" id="{00000000-0008-0000-0200-000019680000}"/>
              </a:ext>
            </a:extLst>
          </xdr:cNvPr>
          <xdr:cNvSpPr>
            <a:spLocks noChangeShapeType="1"/>
          </xdr:cNvSpPr>
        </xdr:nvSpPr>
        <xdr:spPr bwMode="auto">
          <a:xfrm>
            <a:off x="407" y="1384"/>
            <a:ext cx="14" cy="4"/>
          </a:xfrm>
          <a:prstGeom prst="line">
            <a:avLst/>
          </a:prstGeom>
          <a:noFill/>
          <a:ln w="9525">
            <a:solidFill>
              <a:srgbClr val="FF0000"/>
            </a:solidFill>
            <a:round/>
            <a:headEnd/>
            <a:tailEnd/>
          </a:ln>
        </xdr:spPr>
      </xdr:sp>
      <xdr:sp macro="" textlink="">
        <xdr:nvSpPr>
          <xdr:cNvPr id="26650" name="Line 26">
            <a:extLst>
              <a:ext uri="{FF2B5EF4-FFF2-40B4-BE49-F238E27FC236}">
                <a16:creationId xmlns:a16="http://schemas.microsoft.com/office/drawing/2014/main" id="{00000000-0008-0000-0200-00001A680000}"/>
              </a:ext>
            </a:extLst>
          </xdr:cNvPr>
          <xdr:cNvSpPr>
            <a:spLocks noChangeShapeType="1"/>
          </xdr:cNvSpPr>
        </xdr:nvSpPr>
        <xdr:spPr bwMode="auto">
          <a:xfrm flipH="1">
            <a:off x="405" y="1389"/>
            <a:ext cx="16" cy="5"/>
          </a:xfrm>
          <a:prstGeom prst="line">
            <a:avLst/>
          </a:prstGeom>
          <a:noFill/>
          <a:ln w="9525">
            <a:solidFill>
              <a:srgbClr val="FF0000"/>
            </a:solidFill>
            <a:round/>
            <a:headEnd/>
            <a:tailEnd/>
          </a:ln>
        </xdr:spPr>
      </xdr:sp>
      <xdr:sp macro="" textlink="">
        <xdr:nvSpPr>
          <xdr:cNvPr id="26651" name="Line 27">
            <a:extLst>
              <a:ext uri="{FF2B5EF4-FFF2-40B4-BE49-F238E27FC236}">
                <a16:creationId xmlns:a16="http://schemas.microsoft.com/office/drawing/2014/main" id="{00000000-0008-0000-0200-00001B680000}"/>
              </a:ext>
            </a:extLst>
          </xdr:cNvPr>
          <xdr:cNvSpPr>
            <a:spLocks noChangeShapeType="1"/>
          </xdr:cNvSpPr>
        </xdr:nvSpPr>
        <xdr:spPr bwMode="auto">
          <a:xfrm>
            <a:off x="405" y="1394"/>
            <a:ext cx="0" cy="16"/>
          </a:xfrm>
          <a:prstGeom prst="line">
            <a:avLst/>
          </a:prstGeom>
          <a:noFill/>
          <a:ln w="9525">
            <a:solidFill>
              <a:srgbClr val="FF0000"/>
            </a:solidFill>
            <a:round/>
            <a:headEnd/>
            <a:tailEnd/>
          </a:ln>
        </xdr:spPr>
      </xdr:sp>
    </xdr:grpSp>
    <xdr:clientData/>
  </xdr:twoCellAnchor>
  <xdr:twoCellAnchor>
    <xdr:from>
      <xdr:col>36</xdr:col>
      <xdr:colOff>57150</xdr:colOff>
      <xdr:row>84</xdr:row>
      <xdr:rowOff>152400</xdr:rowOff>
    </xdr:from>
    <xdr:to>
      <xdr:col>49</xdr:col>
      <xdr:colOff>0</xdr:colOff>
      <xdr:row>86</xdr:row>
      <xdr:rowOff>9525</xdr:rowOff>
    </xdr:to>
    <xdr:sp macro="" textlink="">
      <xdr:nvSpPr>
        <xdr:cNvPr id="26652" name="Text Box 28">
          <a:extLst>
            <a:ext uri="{FF2B5EF4-FFF2-40B4-BE49-F238E27FC236}">
              <a16:creationId xmlns:a16="http://schemas.microsoft.com/office/drawing/2014/main" id="{00000000-0008-0000-0200-00001C680000}"/>
            </a:ext>
          </a:extLst>
        </xdr:cNvPr>
        <xdr:cNvSpPr txBox="1">
          <a:spLocks noChangeArrowheads="1"/>
        </xdr:cNvSpPr>
      </xdr:nvSpPr>
      <xdr:spPr bwMode="auto">
        <a:xfrm>
          <a:off x="3438525" y="12506325"/>
          <a:ext cx="1181100" cy="1809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80"/>
              </a:solidFill>
              <a:latin typeface="Arial"/>
              <a:cs typeface="Arial"/>
            </a:rPr>
            <a:t>Ahead of Schedule</a:t>
          </a:r>
        </a:p>
      </xdr:txBody>
    </xdr:sp>
    <xdr:clientData/>
  </xdr:twoCellAnchor>
  <xdr:twoCellAnchor>
    <xdr:from>
      <xdr:col>3</xdr:col>
      <xdr:colOff>66675</xdr:colOff>
      <xdr:row>105</xdr:row>
      <xdr:rowOff>142875</xdr:rowOff>
    </xdr:from>
    <xdr:to>
      <xdr:col>4</xdr:col>
      <xdr:colOff>47625</xdr:colOff>
      <xdr:row>109</xdr:row>
      <xdr:rowOff>47625</xdr:rowOff>
    </xdr:to>
    <xdr:sp macro="" textlink="">
      <xdr:nvSpPr>
        <xdr:cNvPr id="26653" name="AutoShape 29">
          <a:extLst>
            <a:ext uri="{FF2B5EF4-FFF2-40B4-BE49-F238E27FC236}">
              <a16:creationId xmlns:a16="http://schemas.microsoft.com/office/drawing/2014/main" id="{00000000-0008-0000-0200-00001D680000}"/>
            </a:ext>
          </a:extLst>
        </xdr:cNvPr>
        <xdr:cNvSpPr>
          <a:spLocks/>
        </xdr:cNvSpPr>
      </xdr:nvSpPr>
      <xdr:spPr bwMode="auto">
        <a:xfrm>
          <a:off x="304800" y="15897225"/>
          <a:ext cx="76200" cy="552450"/>
        </a:xfrm>
        <a:prstGeom prst="leftBrace">
          <a:avLst>
            <a:gd name="adj1" fmla="val 60417"/>
            <a:gd name="adj2" fmla="val 50000"/>
          </a:avLst>
        </a:prstGeom>
        <a:noFill/>
        <a:ln w="9525">
          <a:solidFill>
            <a:srgbClr val="000000"/>
          </a:solidFill>
          <a:round/>
          <a:headEnd/>
          <a:tailEnd/>
        </a:ln>
      </xdr:spPr>
    </xdr:sp>
    <xdr:clientData/>
  </xdr:twoCellAnchor>
  <xdr:twoCellAnchor>
    <xdr:from>
      <xdr:col>83</xdr:col>
      <xdr:colOff>0</xdr:colOff>
      <xdr:row>14</xdr:row>
      <xdr:rowOff>95250</xdr:rowOff>
    </xdr:from>
    <xdr:to>
      <xdr:col>84</xdr:col>
      <xdr:colOff>38100</xdr:colOff>
      <xdr:row>21</xdr:row>
      <xdr:rowOff>114300</xdr:rowOff>
    </xdr:to>
    <xdr:sp macro="" textlink="">
      <xdr:nvSpPr>
        <xdr:cNvPr id="26694" name="AutoShape 70">
          <a:extLst>
            <a:ext uri="{FF2B5EF4-FFF2-40B4-BE49-F238E27FC236}">
              <a16:creationId xmlns:a16="http://schemas.microsoft.com/office/drawing/2014/main" id="{00000000-0008-0000-0200-000046680000}"/>
            </a:ext>
          </a:extLst>
        </xdr:cNvPr>
        <xdr:cNvSpPr>
          <a:spLocks/>
        </xdr:cNvSpPr>
      </xdr:nvSpPr>
      <xdr:spPr bwMode="auto">
        <a:xfrm>
          <a:off x="7858125" y="2028825"/>
          <a:ext cx="133350" cy="952500"/>
        </a:xfrm>
        <a:prstGeom prst="rightBrace">
          <a:avLst>
            <a:gd name="adj1" fmla="val 59524"/>
            <a:gd name="adj2" fmla="val 50000"/>
          </a:avLst>
        </a:prstGeom>
        <a:noFill/>
        <a:ln w="9525">
          <a:solidFill>
            <a:srgbClr val="000000"/>
          </a:solidFill>
          <a:round/>
          <a:headEnd/>
          <a:tailEnd/>
        </a:ln>
      </xdr:spPr>
    </xdr:sp>
    <xdr:clientData/>
  </xdr:twoCellAnchor>
  <xdr:twoCellAnchor>
    <xdr:from>
      <xdr:col>85</xdr:col>
      <xdr:colOff>0</xdr:colOff>
      <xdr:row>17</xdr:row>
      <xdr:rowOff>19050</xdr:rowOff>
    </xdr:from>
    <xdr:to>
      <xdr:col>99</xdr:col>
      <xdr:colOff>0</xdr:colOff>
      <xdr:row>21</xdr:row>
      <xdr:rowOff>19050</xdr:rowOff>
    </xdr:to>
    <xdr:sp macro="" textlink="">
      <xdr:nvSpPr>
        <xdr:cNvPr id="26695" name="Text Box 71">
          <a:extLst>
            <a:ext uri="{FF2B5EF4-FFF2-40B4-BE49-F238E27FC236}">
              <a16:creationId xmlns:a16="http://schemas.microsoft.com/office/drawing/2014/main" id="{00000000-0008-0000-0200-000047680000}"/>
            </a:ext>
          </a:extLst>
        </xdr:cNvPr>
        <xdr:cNvSpPr txBox="1">
          <a:spLocks noChangeArrowheads="1"/>
        </xdr:cNvSpPr>
      </xdr:nvSpPr>
      <xdr:spPr bwMode="auto">
        <a:xfrm>
          <a:off x="8048625" y="2352675"/>
          <a:ext cx="1333500" cy="53340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Programming Statistics</a:t>
          </a:r>
        </a:p>
      </xdr:txBody>
    </xdr:sp>
    <xdr:clientData/>
  </xdr:twoCellAnchor>
  <xdr:twoCellAnchor editAs="oneCell">
    <xdr:from>
      <xdr:col>8</xdr:col>
      <xdr:colOff>57150</xdr:colOff>
      <xdr:row>57</xdr:row>
      <xdr:rowOff>19050</xdr:rowOff>
    </xdr:from>
    <xdr:to>
      <xdr:col>82</xdr:col>
      <xdr:colOff>76200</xdr:colOff>
      <xdr:row>61</xdr:row>
      <xdr:rowOff>133350</xdr:rowOff>
    </xdr:to>
    <xdr:pic>
      <xdr:nvPicPr>
        <xdr:cNvPr id="26696" name="Picture 72">
          <a:extLst>
            <a:ext uri="{FF2B5EF4-FFF2-40B4-BE49-F238E27FC236}">
              <a16:creationId xmlns:a16="http://schemas.microsoft.com/office/drawing/2014/main" id="{00000000-0008-0000-0200-000048680000}"/>
            </a:ext>
          </a:extLst>
        </xdr:cNvPr>
        <xdr:cNvPicPr>
          <a:picLocks noChangeAspect="1" noChangeArrowheads="1"/>
        </xdr:cNvPicPr>
      </xdr:nvPicPr>
      <xdr:blipFill>
        <a:blip xmlns:r="http://schemas.openxmlformats.org/officeDocument/2006/relationships" r:embed="rId15" cstate="print"/>
        <a:srcRect/>
        <a:stretch>
          <a:fillRect/>
        </a:stretch>
      </xdr:blipFill>
      <xdr:spPr bwMode="auto">
        <a:xfrm>
          <a:off x="771525" y="8001000"/>
          <a:ext cx="7067550" cy="762000"/>
        </a:xfrm>
        <a:prstGeom prst="rect">
          <a:avLst/>
        </a:prstGeom>
        <a:noFill/>
        <a:ln w="1">
          <a:noFill/>
          <a:miter lim="800000"/>
          <a:headEnd/>
          <a:tailEnd/>
        </a:ln>
        <a:effectLst/>
      </xdr:spPr>
    </xdr:pic>
    <xdr:clientData/>
  </xdr:twoCellAnchor>
  <xdr:twoCellAnchor>
    <xdr:from>
      <xdr:col>7</xdr:col>
      <xdr:colOff>19050</xdr:colOff>
      <xdr:row>54</xdr:row>
      <xdr:rowOff>95250</xdr:rowOff>
    </xdr:from>
    <xdr:to>
      <xdr:col>21</xdr:col>
      <xdr:colOff>66675</xdr:colOff>
      <xdr:row>56</xdr:row>
      <xdr:rowOff>152400</xdr:rowOff>
    </xdr:to>
    <xdr:sp macro="" textlink="">
      <xdr:nvSpPr>
        <xdr:cNvPr id="26656" name="AutoShape 32">
          <a:extLst>
            <a:ext uri="{FF2B5EF4-FFF2-40B4-BE49-F238E27FC236}">
              <a16:creationId xmlns:a16="http://schemas.microsoft.com/office/drawing/2014/main" id="{00000000-0008-0000-0200-000020680000}"/>
            </a:ext>
          </a:extLst>
        </xdr:cNvPr>
        <xdr:cNvSpPr>
          <a:spLocks noChangeArrowheads="1"/>
        </xdr:cNvSpPr>
      </xdr:nvSpPr>
      <xdr:spPr bwMode="auto">
        <a:xfrm>
          <a:off x="638175" y="7591425"/>
          <a:ext cx="1381125" cy="381000"/>
        </a:xfrm>
        <a:prstGeom prst="wedgeRoundRectCallout">
          <a:avLst>
            <a:gd name="adj1" fmla="val 57588"/>
            <a:gd name="adj2" fmla="val 11000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 Project and System Name</a:t>
          </a:r>
        </a:p>
      </xdr:txBody>
    </xdr:sp>
    <xdr:clientData/>
  </xdr:twoCellAnchor>
  <xdr:twoCellAnchor>
    <xdr:from>
      <xdr:col>11</xdr:col>
      <xdr:colOff>57150</xdr:colOff>
      <xdr:row>62</xdr:row>
      <xdr:rowOff>85725</xdr:rowOff>
    </xdr:from>
    <xdr:to>
      <xdr:col>25</xdr:col>
      <xdr:colOff>19050</xdr:colOff>
      <xdr:row>65</xdr:row>
      <xdr:rowOff>9525</xdr:rowOff>
    </xdr:to>
    <xdr:sp macro="" textlink="">
      <xdr:nvSpPr>
        <xdr:cNvPr id="26657" name="AutoShape 33">
          <a:extLst>
            <a:ext uri="{FF2B5EF4-FFF2-40B4-BE49-F238E27FC236}">
              <a16:creationId xmlns:a16="http://schemas.microsoft.com/office/drawing/2014/main" id="{00000000-0008-0000-0200-000021680000}"/>
            </a:ext>
          </a:extLst>
        </xdr:cNvPr>
        <xdr:cNvSpPr>
          <a:spLocks noChangeArrowheads="1"/>
        </xdr:cNvSpPr>
      </xdr:nvSpPr>
      <xdr:spPr bwMode="auto">
        <a:xfrm>
          <a:off x="1057275" y="8877300"/>
          <a:ext cx="1295400" cy="409575"/>
        </a:xfrm>
        <a:prstGeom prst="wedgeRoundRectCallout">
          <a:avLst>
            <a:gd name="adj1" fmla="val -12500"/>
            <a:gd name="adj2" fmla="val -143023"/>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 Date of Making the report</a:t>
          </a:r>
        </a:p>
      </xdr:txBody>
    </xdr:sp>
    <xdr:clientData/>
  </xdr:twoCellAnchor>
  <xdr:twoCellAnchor>
    <xdr:from>
      <xdr:col>65</xdr:col>
      <xdr:colOff>9525</xdr:colOff>
      <xdr:row>53</xdr:row>
      <xdr:rowOff>114300</xdr:rowOff>
    </xdr:from>
    <xdr:to>
      <xdr:col>83</xdr:col>
      <xdr:colOff>28575</xdr:colOff>
      <xdr:row>56</xdr:row>
      <xdr:rowOff>38100</xdr:rowOff>
    </xdr:to>
    <xdr:sp macro="" textlink="">
      <xdr:nvSpPr>
        <xdr:cNvPr id="26658" name="AutoShape 34">
          <a:extLst>
            <a:ext uri="{FF2B5EF4-FFF2-40B4-BE49-F238E27FC236}">
              <a16:creationId xmlns:a16="http://schemas.microsoft.com/office/drawing/2014/main" id="{00000000-0008-0000-0200-000022680000}"/>
            </a:ext>
          </a:extLst>
        </xdr:cNvPr>
        <xdr:cNvSpPr>
          <a:spLocks noChangeArrowheads="1"/>
        </xdr:cNvSpPr>
      </xdr:nvSpPr>
      <xdr:spPr bwMode="auto">
        <a:xfrm>
          <a:off x="6153150" y="7448550"/>
          <a:ext cx="1733550" cy="409575"/>
        </a:xfrm>
        <a:prstGeom prst="wedgeRoundRectCallout">
          <a:avLst>
            <a:gd name="adj1" fmla="val -8792"/>
            <a:gd name="adj2" fmla="val 13837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3: Signature of Vendor PIC and ISD PIC of the Project.</a:t>
          </a:r>
        </a:p>
      </xdr:txBody>
    </xdr:sp>
    <xdr:clientData/>
  </xdr:twoCellAnchor>
  <xdr:twoCellAnchor editAs="oneCell">
    <xdr:from>
      <xdr:col>6</xdr:col>
      <xdr:colOff>47625</xdr:colOff>
      <xdr:row>73</xdr:row>
      <xdr:rowOff>123825</xdr:rowOff>
    </xdr:from>
    <xdr:to>
      <xdr:col>79</xdr:col>
      <xdr:colOff>76200</xdr:colOff>
      <xdr:row>80</xdr:row>
      <xdr:rowOff>66675</xdr:rowOff>
    </xdr:to>
    <xdr:pic>
      <xdr:nvPicPr>
        <xdr:cNvPr id="26698" name="Picture 74">
          <a:extLst>
            <a:ext uri="{FF2B5EF4-FFF2-40B4-BE49-F238E27FC236}">
              <a16:creationId xmlns:a16="http://schemas.microsoft.com/office/drawing/2014/main" id="{00000000-0008-0000-0200-00004A680000}"/>
            </a:ext>
          </a:extLst>
        </xdr:cNvPr>
        <xdr:cNvPicPr>
          <a:picLocks noChangeAspect="1" noChangeArrowheads="1"/>
        </xdr:cNvPicPr>
      </xdr:nvPicPr>
      <xdr:blipFill>
        <a:blip xmlns:r="http://schemas.openxmlformats.org/officeDocument/2006/relationships" r:embed="rId16" cstate="print"/>
        <a:srcRect/>
        <a:stretch>
          <a:fillRect/>
        </a:stretch>
      </xdr:blipFill>
      <xdr:spPr bwMode="auto">
        <a:xfrm>
          <a:off x="571500" y="10696575"/>
          <a:ext cx="6981825" cy="1076325"/>
        </a:xfrm>
        <a:prstGeom prst="rect">
          <a:avLst/>
        </a:prstGeom>
        <a:noFill/>
        <a:ln w="1">
          <a:noFill/>
          <a:miter lim="800000"/>
          <a:headEnd/>
          <a:tailEnd/>
        </a:ln>
        <a:effectLst/>
      </xdr:spPr>
    </xdr:pic>
    <xdr:clientData/>
  </xdr:twoCellAnchor>
  <xdr:twoCellAnchor>
    <xdr:from>
      <xdr:col>4</xdr:col>
      <xdr:colOff>0</xdr:colOff>
      <xdr:row>73</xdr:row>
      <xdr:rowOff>28575</xdr:rowOff>
    </xdr:from>
    <xdr:to>
      <xdr:col>17</xdr:col>
      <xdr:colOff>47625</xdr:colOff>
      <xdr:row>75</xdr:row>
      <xdr:rowOff>85725</xdr:rowOff>
    </xdr:to>
    <xdr:sp macro="" textlink="">
      <xdr:nvSpPr>
        <xdr:cNvPr id="26660" name="AutoShape 36">
          <a:extLst>
            <a:ext uri="{FF2B5EF4-FFF2-40B4-BE49-F238E27FC236}">
              <a16:creationId xmlns:a16="http://schemas.microsoft.com/office/drawing/2014/main" id="{00000000-0008-0000-0200-000024680000}"/>
            </a:ext>
          </a:extLst>
        </xdr:cNvPr>
        <xdr:cNvSpPr>
          <a:spLocks noChangeArrowheads="1"/>
        </xdr:cNvSpPr>
      </xdr:nvSpPr>
      <xdr:spPr bwMode="auto">
        <a:xfrm>
          <a:off x="333375" y="10601325"/>
          <a:ext cx="1285875" cy="381000"/>
        </a:xfrm>
        <a:prstGeom prst="wedgeRoundRectCallout">
          <a:avLst>
            <a:gd name="adj1" fmla="val 15185"/>
            <a:gd name="adj2" fmla="val 9500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 System Name</a:t>
          </a:r>
        </a:p>
      </xdr:txBody>
    </xdr:sp>
    <xdr:clientData/>
  </xdr:twoCellAnchor>
  <xdr:twoCellAnchor>
    <xdr:from>
      <xdr:col>23</xdr:col>
      <xdr:colOff>9525</xdr:colOff>
      <xdr:row>71</xdr:row>
      <xdr:rowOff>57150</xdr:rowOff>
    </xdr:from>
    <xdr:to>
      <xdr:col>39</xdr:col>
      <xdr:colOff>47625</xdr:colOff>
      <xdr:row>74</xdr:row>
      <xdr:rowOff>57150</xdr:rowOff>
    </xdr:to>
    <xdr:sp macro="" textlink="">
      <xdr:nvSpPr>
        <xdr:cNvPr id="26661" name="AutoShape 37">
          <a:extLst>
            <a:ext uri="{FF2B5EF4-FFF2-40B4-BE49-F238E27FC236}">
              <a16:creationId xmlns:a16="http://schemas.microsoft.com/office/drawing/2014/main" id="{00000000-0008-0000-0200-000025680000}"/>
            </a:ext>
          </a:extLst>
        </xdr:cNvPr>
        <xdr:cNvSpPr>
          <a:spLocks noChangeArrowheads="1"/>
        </xdr:cNvSpPr>
      </xdr:nvSpPr>
      <xdr:spPr bwMode="auto">
        <a:xfrm>
          <a:off x="2152650" y="10306050"/>
          <a:ext cx="1562100" cy="485775"/>
        </a:xfrm>
        <a:prstGeom prst="wedgeRoundRectCallout">
          <a:avLst>
            <a:gd name="adj1" fmla="val 9148"/>
            <a:gd name="adj2" fmla="val 128431"/>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 Draw overview schedule of the project for all phases</a:t>
          </a:r>
        </a:p>
      </xdr:txBody>
    </xdr:sp>
    <xdr:clientData/>
  </xdr:twoCellAnchor>
  <xdr:twoCellAnchor>
    <xdr:from>
      <xdr:col>62</xdr:col>
      <xdr:colOff>28575</xdr:colOff>
      <xdr:row>70</xdr:row>
      <xdr:rowOff>28575</xdr:rowOff>
    </xdr:from>
    <xdr:to>
      <xdr:col>81</xdr:col>
      <xdr:colOff>57150</xdr:colOff>
      <xdr:row>73</xdr:row>
      <xdr:rowOff>104775</xdr:rowOff>
    </xdr:to>
    <xdr:sp macro="" textlink="">
      <xdr:nvSpPr>
        <xdr:cNvPr id="26662" name="AutoShape 38">
          <a:extLst>
            <a:ext uri="{FF2B5EF4-FFF2-40B4-BE49-F238E27FC236}">
              <a16:creationId xmlns:a16="http://schemas.microsoft.com/office/drawing/2014/main" id="{00000000-0008-0000-0200-000026680000}"/>
            </a:ext>
          </a:extLst>
        </xdr:cNvPr>
        <xdr:cNvSpPr>
          <a:spLocks noChangeArrowheads="1"/>
        </xdr:cNvSpPr>
      </xdr:nvSpPr>
      <xdr:spPr bwMode="auto">
        <a:xfrm>
          <a:off x="5886450" y="10115550"/>
          <a:ext cx="1838325" cy="561975"/>
        </a:xfrm>
        <a:prstGeom prst="wedgeRoundRectCallout">
          <a:avLst>
            <a:gd name="adj1" fmla="val 11657"/>
            <a:gd name="adj2" fmla="val 80509"/>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3: Update "Progress Line" to reflect and show the progress or delay of the project </a:t>
          </a:r>
        </a:p>
      </xdr:txBody>
    </xdr:sp>
    <xdr:clientData/>
  </xdr:twoCellAnchor>
  <xdr:twoCellAnchor>
    <xdr:from>
      <xdr:col>53</xdr:col>
      <xdr:colOff>9525</xdr:colOff>
      <xdr:row>92</xdr:row>
      <xdr:rowOff>123825</xdr:rowOff>
    </xdr:from>
    <xdr:to>
      <xdr:col>71</xdr:col>
      <xdr:colOff>66675</xdr:colOff>
      <xdr:row>94</xdr:row>
      <xdr:rowOff>57150</xdr:rowOff>
    </xdr:to>
    <xdr:sp macro="" textlink="">
      <xdr:nvSpPr>
        <xdr:cNvPr id="26664" name="AutoShape 40">
          <a:extLst>
            <a:ext uri="{FF2B5EF4-FFF2-40B4-BE49-F238E27FC236}">
              <a16:creationId xmlns:a16="http://schemas.microsoft.com/office/drawing/2014/main" id="{00000000-0008-0000-0200-000028680000}"/>
            </a:ext>
          </a:extLst>
        </xdr:cNvPr>
        <xdr:cNvSpPr>
          <a:spLocks noChangeArrowheads="1"/>
        </xdr:cNvSpPr>
      </xdr:nvSpPr>
      <xdr:spPr bwMode="auto">
        <a:xfrm>
          <a:off x="5010150" y="13773150"/>
          <a:ext cx="1771650" cy="257175"/>
        </a:xfrm>
        <a:prstGeom prst="wedgeRoundRectCallout">
          <a:avLst>
            <a:gd name="adj1" fmla="val 21505"/>
            <a:gd name="adj2" fmla="val 120370"/>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Note-1: Workload ratio of tasks</a:t>
          </a:r>
        </a:p>
      </xdr:txBody>
    </xdr:sp>
    <xdr:clientData/>
  </xdr:twoCellAnchor>
  <xdr:twoCellAnchor>
    <xdr:from>
      <xdr:col>23</xdr:col>
      <xdr:colOff>66675</xdr:colOff>
      <xdr:row>92</xdr:row>
      <xdr:rowOff>114300</xdr:rowOff>
    </xdr:from>
    <xdr:to>
      <xdr:col>42</xdr:col>
      <xdr:colOff>57150</xdr:colOff>
      <xdr:row>94</xdr:row>
      <xdr:rowOff>142875</xdr:rowOff>
    </xdr:to>
    <xdr:sp macro="" textlink="">
      <xdr:nvSpPr>
        <xdr:cNvPr id="26665" name="AutoShape 41">
          <a:extLst>
            <a:ext uri="{FF2B5EF4-FFF2-40B4-BE49-F238E27FC236}">
              <a16:creationId xmlns:a16="http://schemas.microsoft.com/office/drawing/2014/main" id="{00000000-0008-0000-0200-000029680000}"/>
            </a:ext>
          </a:extLst>
        </xdr:cNvPr>
        <xdr:cNvSpPr>
          <a:spLocks noChangeArrowheads="1"/>
        </xdr:cNvSpPr>
      </xdr:nvSpPr>
      <xdr:spPr bwMode="auto">
        <a:xfrm>
          <a:off x="2209800" y="13763625"/>
          <a:ext cx="1800225" cy="352425"/>
        </a:xfrm>
        <a:prstGeom prst="wedgeRoundRectCallout">
          <a:avLst>
            <a:gd name="adj1" fmla="val 1324"/>
            <a:gd name="adj2" fmla="val 13919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 Report Creation Date (one day before weekly meeting)</a:t>
          </a:r>
        </a:p>
      </xdr:txBody>
    </xdr:sp>
    <xdr:clientData/>
  </xdr:twoCellAnchor>
  <xdr:twoCellAnchor>
    <xdr:from>
      <xdr:col>82</xdr:col>
      <xdr:colOff>47625</xdr:colOff>
      <xdr:row>111</xdr:row>
      <xdr:rowOff>0</xdr:rowOff>
    </xdr:from>
    <xdr:to>
      <xdr:col>99</xdr:col>
      <xdr:colOff>76200</xdr:colOff>
      <xdr:row>113</xdr:row>
      <xdr:rowOff>152400</xdr:rowOff>
    </xdr:to>
    <xdr:sp macro="" textlink="">
      <xdr:nvSpPr>
        <xdr:cNvPr id="26666" name="AutoShape 42">
          <a:extLst>
            <a:ext uri="{FF2B5EF4-FFF2-40B4-BE49-F238E27FC236}">
              <a16:creationId xmlns:a16="http://schemas.microsoft.com/office/drawing/2014/main" id="{00000000-0008-0000-0200-00002A680000}"/>
            </a:ext>
          </a:extLst>
        </xdr:cNvPr>
        <xdr:cNvSpPr>
          <a:spLocks noChangeArrowheads="1"/>
        </xdr:cNvSpPr>
      </xdr:nvSpPr>
      <xdr:spPr bwMode="auto">
        <a:xfrm>
          <a:off x="7810500" y="16725900"/>
          <a:ext cx="1647825" cy="476250"/>
        </a:xfrm>
        <a:prstGeom prst="wedgeRoundRectCallout">
          <a:avLst>
            <a:gd name="adj1" fmla="val -22255"/>
            <a:gd name="adj2" fmla="val -174000"/>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Note-4: Accum Plan = Accum Result when the phase is finished</a:t>
          </a:r>
        </a:p>
      </xdr:txBody>
    </xdr:sp>
    <xdr:clientData/>
  </xdr:twoCellAnchor>
  <xdr:twoCellAnchor>
    <xdr:from>
      <xdr:col>28</xdr:col>
      <xdr:colOff>38100</xdr:colOff>
      <xdr:row>110</xdr:row>
      <xdr:rowOff>47625</xdr:rowOff>
    </xdr:from>
    <xdr:to>
      <xdr:col>46</xdr:col>
      <xdr:colOff>76200</xdr:colOff>
      <xdr:row>112</xdr:row>
      <xdr:rowOff>38100</xdr:rowOff>
    </xdr:to>
    <xdr:sp macro="" textlink="">
      <xdr:nvSpPr>
        <xdr:cNvPr id="26667" name="AutoShape 43">
          <a:extLst>
            <a:ext uri="{FF2B5EF4-FFF2-40B4-BE49-F238E27FC236}">
              <a16:creationId xmlns:a16="http://schemas.microsoft.com/office/drawing/2014/main" id="{00000000-0008-0000-0200-00002B680000}"/>
            </a:ext>
          </a:extLst>
        </xdr:cNvPr>
        <xdr:cNvSpPr>
          <a:spLocks noChangeArrowheads="1"/>
        </xdr:cNvSpPr>
      </xdr:nvSpPr>
      <xdr:spPr bwMode="auto">
        <a:xfrm>
          <a:off x="2657475" y="16611600"/>
          <a:ext cx="1752600" cy="314325"/>
        </a:xfrm>
        <a:prstGeom prst="wedgeRoundRectCallout">
          <a:avLst>
            <a:gd name="adj1" fmla="val 35324"/>
            <a:gd name="adj2" fmla="val -35606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 Fill in weekly plan (summation of all tasks)</a:t>
          </a:r>
        </a:p>
      </xdr:txBody>
    </xdr:sp>
    <xdr:clientData/>
  </xdr:twoCellAnchor>
  <xdr:twoCellAnchor>
    <xdr:from>
      <xdr:col>61</xdr:col>
      <xdr:colOff>85725</xdr:colOff>
      <xdr:row>111</xdr:row>
      <xdr:rowOff>57150</xdr:rowOff>
    </xdr:from>
    <xdr:to>
      <xdr:col>80</xdr:col>
      <xdr:colOff>28575</xdr:colOff>
      <xdr:row>113</xdr:row>
      <xdr:rowOff>47625</xdr:rowOff>
    </xdr:to>
    <xdr:sp macro="" textlink="">
      <xdr:nvSpPr>
        <xdr:cNvPr id="26668" name="AutoShape 44">
          <a:extLst>
            <a:ext uri="{FF2B5EF4-FFF2-40B4-BE49-F238E27FC236}">
              <a16:creationId xmlns:a16="http://schemas.microsoft.com/office/drawing/2014/main" id="{00000000-0008-0000-0200-00002C680000}"/>
            </a:ext>
          </a:extLst>
        </xdr:cNvPr>
        <xdr:cNvSpPr>
          <a:spLocks noChangeArrowheads="1"/>
        </xdr:cNvSpPr>
      </xdr:nvSpPr>
      <xdr:spPr bwMode="auto">
        <a:xfrm>
          <a:off x="5848350" y="16783050"/>
          <a:ext cx="1752600" cy="314325"/>
        </a:xfrm>
        <a:prstGeom prst="wedgeRoundRectCallout">
          <a:avLst>
            <a:gd name="adj1" fmla="val 54894"/>
            <a:gd name="adj2" fmla="val -365153"/>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3: Fill in weekly result (summation of all tasks)</a:t>
          </a:r>
        </a:p>
      </xdr:txBody>
    </xdr:sp>
    <xdr:clientData/>
  </xdr:twoCellAnchor>
  <xdr:twoCellAnchor>
    <xdr:from>
      <xdr:col>3</xdr:col>
      <xdr:colOff>85725</xdr:colOff>
      <xdr:row>110</xdr:row>
      <xdr:rowOff>19050</xdr:rowOff>
    </xdr:from>
    <xdr:to>
      <xdr:col>24</xdr:col>
      <xdr:colOff>0</xdr:colOff>
      <xdr:row>113</xdr:row>
      <xdr:rowOff>114300</xdr:rowOff>
    </xdr:to>
    <xdr:sp macro="" textlink="">
      <xdr:nvSpPr>
        <xdr:cNvPr id="26669" name="AutoShape 45">
          <a:extLst>
            <a:ext uri="{FF2B5EF4-FFF2-40B4-BE49-F238E27FC236}">
              <a16:creationId xmlns:a16="http://schemas.microsoft.com/office/drawing/2014/main" id="{00000000-0008-0000-0200-00002D680000}"/>
            </a:ext>
          </a:extLst>
        </xdr:cNvPr>
        <xdr:cNvSpPr>
          <a:spLocks noChangeArrowheads="1"/>
        </xdr:cNvSpPr>
      </xdr:nvSpPr>
      <xdr:spPr bwMode="auto">
        <a:xfrm>
          <a:off x="323850" y="16583025"/>
          <a:ext cx="1914525" cy="581025"/>
        </a:xfrm>
        <a:prstGeom prst="wedgeRoundRectCallout">
          <a:avLst>
            <a:gd name="adj1" fmla="val -47514"/>
            <a:gd name="adj2" fmla="val -94264"/>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Note-3: Difference (weekly and accum), Plan (accum) and Result (accum) are automatically calculated</a:t>
          </a:r>
        </a:p>
      </xdr:txBody>
    </xdr:sp>
    <xdr:clientData/>
  </xdr:twoCellAnchor>
  <xdr:twoCellAnchor>
    <xdr:from>
      <xdr:col>80</xdr:col>
      <xdr:colOff>38100</xdr:colOff>
      <xdr:row>91</xdr:row>
      <xdr:rowOff>95250</xdr:rowOff>
    </xdr:from>
    <xdr:to>
      <xdr:col>99</xdr:col>
      <xdr:colOff>0</xdr:colOff>
      <xdr:row>95</xdr:row>
      <xdr:rowOff>9525</xdr:rowOff>
    </xdr:to>
    <xdr:sp macro="" textlink="">
      <xdr:nvSpPr>
        <xdr:cNvPr id="26670" name="AutoShape 46">
          <a:extLst>
            <a:ext uri="{FF2B5EF4-FFF2-40B4-BE49-F238E27FC236}">
              <a16:creationId xmlns:a16="http://schemas.microsoft.com/office/drawing/2014/main" id="{00000000-0008-0000-0200-00002E680000}"/>
            </a:ext>
          </a:extLst>
        </xdr:cNvPr>
        <xdr:cNvSpPr>
          <a:spLocks noChangeArrowheads="1"/>
        </xdr:cNvSpPr>
      </xdr:nvSpPr>
      <xdr:spPr bwMode="auto">
        <a:xfrm>
          <a:off x="7610475" y="13582650"/>
          <a:ext cx="1771650" cy="561975"/>
        </a:xfrm>
        <a:prstGeom prst="wedgeRoundRectCallout">
          <a:avLst>
            <a:gd name="adj1" fmla="val -30106"/>
            <a:gd name="adj2" fmla="val 102542"/>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Note-2: In case that the phase is very short, this can be daily instead of weekly</a:t>
          </a:r>
        </a:p>
      </xdr:txBody>
    </xdr:sp>
    <xdr:clientData/>
  </xdr:twoCellAnchor>
  <xdr:twoCellAnchor>
    <xdr:from>
      <xdr:col>3</xdr:col>
      <xdr:colOff>57150</xdr:colOff>
      <xdr:row>189</xdr:row>
      <xdr:rowOff>57150</xdr:rowOff>
    </xdr:from>
    <xdr:to>
      <xdr:col>4</xdr:col>
      <xdr:colOff>38100</xdr:colOff>
      <xdr:row>192</xdr:row>
      <xdr:rowOff>123825</xdr:rowOff>
    </xdr:to>
    <xdr:sp macro="" textlink="">
      <xdr:nvSpPr>
        <xdr:cNvPr id="26701" name="AutoShape 77">
          <a:extLst>
            <a:ext uri="{FF2B5EF4-FFF2-40B4-BE49-F238E27FC236}">
              <a16:creationId xmlns:a16="http://schemas.microsoft.com/office/drawing/2014/main" id="{00000000-0008-0000-0200-00004D680000}"/>
            </a:ext>
          </a:extLst>
        </xdr:cNvPr>
        <xdr:cNvSpPr>
          <a:spLocks/>
        </xdr:cNvSpPr>
      </xdr:nvSpPr>
      <xdr:spPr bwMode="auto">
        <a:xfrm>
          <a:off x="295275" y="29413200"/>
          <a:ext cx="76200" cy="552450"/>
        </a:xfrm>
        <a:prstGeom prst="leftBrace">
          <a:avLst>
            <a:gd name="adj1" fmla="val 60417"/>
            <a:gd name="adj2" fmla="val 50000"/>
          </a:avLst>
        </a:prstGeom>
        <a:noFill/>
        <a:ln w="9525">
          <a:solidFill>
            <a:srgbClr val="000000"/>
          </a:solidFill>
          <a:round/>
          <a:headEnd/>
          <a:tailEnd/>
        </a:ln>
      </xdr:spPr>
    </xdr:sp>
    <xdr:clientData/>
  </xdr:twoCellAnchor>
  <xdr:twoCellAnchor>
    <xdr:from>
      <xdr:col>25</xdr:col>
      <xdr:colOff>9525</xdr:colOff>
      <xdr:row>172</xdr:row>
      <xdr:rowOff>95250</xdr:rowOff>
    </xdr:from>
    <xdr:to>
      <xdr:col>44</xdr:col>
      <xdr:colOff>0</xdr:colOff>
      <xdr:row>174</xdr:row>
      <xdr:rowOff>123825</xdr:rowOff>
    </xdr:to>
    <xdr:sp macro="" textlink="">
      <xdr:nvSpPr>
        <xdr:cNvPr id="26704" name="AutoShape 80">
          <a:extLst>
            <a:ext uri="{FF2B5EF4-FFF2-40B4-BE49-F238E27FC236}">
              <a16:creationId xmlns:a16="http://schemas.microsoft.com/office/drawing/2014/main" id="{00000000-0008-0000-0200-000050680000}"/>
            </a:ext>
          </a:extLst>
        </xdr:cNvPr>
        <xdr:cNvSpPr>
          <a:spLocks noChangeArrowheads="1"/>
        </xdr:cNvSpPr>
      </xdr:nvSpPr>
      <xdr:spPr bwMode="auto">
        <a:xfrm>
          <a:off x="2343150" y="26698575"/>
          <a:ext cx="1800225" cy="352425"/>
        </a:xfrm>
        <a:prstGeom prst="wedgeRoundRectCallout">
          <a:avLst>
            <a:gd name="adj1" fmla="val 17194"/>
            <a:gd name="adj2" fmla="val 79731"/>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 Report Creation Date (one day before weekly meeting)</a:t>
          </a:r>
        </a:p>
      </xdr:txBody>
    </xdr:sp>
    <xdr:clientData/>
  </xdr:twoCellAnchor>
  <xdr:twoCellAnchor>
    <xdr:from>
      <xdr:col>46</xdr:col>
      <xdr:colOff>38100</xdr:colOff>
      <xdr:row>172</xdr:row>
      <xdr:rowOff>104775</xdr:rowOff>
    </xdr:from>
    <xdr:to>
      <xdr:col>64</xdr:col>
      <xdr:colOff>76200</xdr:colOff>
      <xdr:row>174</xdr:row>
      <xdr:rowOff>95250</xdr:rowOff>
    </xdr:to>
    <xdr:sp macro="" textlink="">
      <xdr:nvSpPr>
        <xdr:cNvPr id="26706" name="AutoShape 82">
          <a:extLst>
            <a:ext uri="{FF2B5EF4-FFF2-40B4-BE49-F238E27FC236}">
              <a16:creationId xmlns:a16="http://schemas.microsoft.com/office/drawing/2014/main" id="{00000000-0008-0000-0200-000052680000}"/>
            </a:ext>
          </a:extLst>
        </xdr:cNvPr>
        <xdr:cNvSpPr>
          <a:spLocks noChangeArrowheads="1"/>
        </xdr:cNvSpPr>
      </xdr:nvSpPr>
      <xdr:spPr bwMode="auto">
        <a:xfrm>
          <a:off x="4371975" y="26708100"/>
          <a:ext cx="1752600" cy="314325"/>
        </a:xfrm>
        <a:prstGeom prst="wedgeRoundRectCallout">
          <a:avLst>
            <a:gd name="adj1" fmla="val -79894"/>
            <a:gd name="adj2" fmla="val 459093"/>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 Fill in weekly plan for testing</a:t>
          </a:r>
        </a:p>
      </xdr:txBody>
    </xdr:sp>
    <xdr:clientData/>
  </xdr:twoCellAnchor>
  <xdr:twoCellAnchor>
    <xdr:from>
      <xdr:col>65</xdr:col>
      <xdr:colOff>66675</xdr:colOff>
      <xdr:row>172</xdr:row>
      <xdr:rowOff>104775</xdr:rowOff>
    </xdr:from>
    <xdr:to>
      <xdr:col>84</xdr:col>
      <xdr:colOff>9525</xdr:colOff>
      <xdr:row>174</xdr:row>
      <xdr:rowOff>95250</xdr:rowOff>
    </xdr:to>
    <xdr:sp macro="" textlink="">
      <xdr:nvSpPr>
        <xdr:cNvPr id="26707" name="AutoShape 83">
          <a:extLst>
            <a:ext uri="{FF2B5EF4-FFF2-40B4-BE49-F238E27FC236}">
              <a16:creationId xmlns:a16="http://schemas.microsoft.com/office/drawing/2014/main" id="{00000000-0008-0000-0200-000053680000}"/>
            </a:ext>
          </a:extLst>
        </xdr:cNvPr>
        <xdr:cNvSpPr>
          <a:spLocks noChangeArrowheads="1"/>
        </xdr:cNvSpPr>
      </xdr:nvSpPr>
      <xdr:spPr bwMode="auto">
        <a:xfrm>
          <a:off x="6210300" y="26708100"/>
          <a:ext cx="1752600" cy="314325"/>
        </a:xfrm>
        <a:prstGeom prst="wedgeRoundRectCallout">
          <a:avLst>
            <a:gd name="adj1" fmla="val 32065"/>
            <a:gd name="adj2" fmla="val 507574"/>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3: Fill in weekly result for testing</a:t>
          </a:r>
        </a:p>
      </xdr:txBody>
    </xdr:sp>
    <xdr:clientData/>
  </xdr:twoCellAnchor>
  <xdr:twoCellAnchor>
    <xdr:from>
      <xdr:col>9</xdr:col>
      <xdr:colOff>9525</xdr:colOff>
      <xdr:row>192</xdr:row>
      <xdr:rowOff>0</xdr:rowOff>
    </xdr:from>
    <xdr:to>
      <xdr:col>31</xdr:col>
      <xdr:colOff>85725</xdr:colOff>
      <xdr:row>195</xdr:row>
      <xdr:rowOff>85725</xdr:rowOff>
    </xdr:to>
    <xdr:sp macro="" textlink="">
      <xdr:nvSpPr>
        <xdr:cNvPr id="26708" name="AutoShape 84">
          <a:extLst>
            <a:ext uri="{FF2B5EF4-FFF2-40B4-BE49-F238E27FC236}">
              <a16:creationId xmlns:a16="http://schemas.microsoft.com/office/drawing/2014/main" id="{00000000-0008-0000-0200-000054680000}"/>
            </a:ext>
          </a:extLst>
        </xdr:cNvPr>
        <xdr:cNvSpPr>
          <a:spLocks noChangeArrowheads="1"/>
        </xdr:cNvSpPr>
      </xdr:nvSpPr>
      <xdr:spPr bwMode="auto">
        <a:xfrm>
          <a:off x="819150" y="29841825"/>
          <a:ext cx="2171700" cy="571500"/>
        </a:xfrm>
        <a:prstGeom prst="wedgeRoundRectCallout">
          <a:avLst>
            <a:gd name="adj1" fmla="val -70176"/>
            <a:gd name="adj2" fmla="val -76667"/>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Note-2: Accum Incident detected&amp;fixed and Incident remained are automatically calculated</a:t>
          </a:r>
        </a:p>
      </xdr:txBody>
    </xdr:sp>
    <xdr:clientData/>
  </xdr:twoCellAnchor>
  <xdr:twoCellAnchor>
    <xdr:from>
      <xdr:col>36</xdr:col>
      <xdr:colOff>38100</xdr:colOff>
      <xdr:row>190</xdr:row>
      <xdr:rowOff>95250</xdr:rowOff>
    </xdr:from>
    <xdr:to>
      <xdr:col>54</xdr:col>
      <xdr:colOff>76200</xdr:colOff>
      <xdr:row>192</xdr:row>
      <xdr:rowOff>85725</xdr:rowOff>
    </xdr:to>
    <xdr:sp macro="" textlink="">
      <xdr:nvSpPr>
        <xdr:cNvPr id="26711" name="AutoShape 87">
          <a:extLst>
            <a:ext uri="{FF2B5EF4-FFF2-40B4-BE49-F238E27FC236}">
              <a16:creationId xmlns:a16="http://schemas.microsoft.com/office/drawing/2014/main" id="{00000000-0008-0000-0200-000057680000}"/>
            </a:ext>
          </a:extLst>
        </xdr:cNvPr>
        <xdr:cNvSpPr>
          <a:spLocks noChangeArrowheads="1"/>
        </xdr:cNvSpPr>
      </xdr:nvSpPr>
      <xdr:spPr bwMode="auto">
        <a:xfrm>
          <a:off x="3419475" y="29613225"/>
          <a:ext cx="1752600" cy="314325"/>
        </a:xfrm>
        <a:prstGeom prst="wedgeRoundRectCallout">
          <a:avLst>
            <a:gd name="adj1" fmla="val 13042"/>
            <a:gd name="adj2" fmla="val -180301"/>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4: Fill in Incident detected in the week</a:t>
          </a:r>
        </a:p>
      </xdr:txBody>
    </xdr:sp>
    <xdr:clientData/>
  </xdr:twoCellAnchor>
  <xdr:twoCellAnchor>
    <xdr:from>
      <xdr:col>61</xdr:col>
      <xdr:colOff>47625</xdr:colOff>
      <xdr:row>191</xdr:row>
      <xdr:rowOff>104775</xdr:rowOff>
    </xdr:from>
    <xdr:to>
      <xdr:col>79</xdr:col>
      <xdr:colOff>85725</xdr:colOff>
      <xdr:row>193</xdr:row>
      <xdr:rowOff>95250</xdr:rowOff>
    </xdr:to>
    <xdr:sp macro="" textlink="">
      <xdr:nvSpPr>
        <xdr:cNvPr id="26712" name="AutoShape 88">
          <a:extLst>
            <a:ext uri="{FF2B5EF4-FFF2-40B4-BE49-F238E27FC236}">
              <a16:creationId xmlns:a16="http://schemas.microsoft.com/office/drawing/2014/main" id="{00000000-0008-0000-0200-000058680000}"/>
            </a:ext>
          </a:extLst>
        </xdr:cNvPr>
        <xdr:cNvSpPr>
          <a:spLocks noChangeArrowheads="1"/>
        </xdr:cNvSpPr>
      </xdr:nvSpPr>
      <xdr:spPr bwMode="auto">
        <a:xfrm>
          <a:off x="5810250" y="29784675"/>
          <a:ext cx="1752600" cy="314325"/>
        </a:xfrm>
        <a:prstGeom prst="wedgeRoundRectCallout">
          <a:avLst>
            <a:gd name="adj1" fmla="val 13042"/>
            <a:gd name="adj2" fmla="val -180301"/>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5: Fill in Incident fixed in the week</a:t>
          </a:r>
        </a:p>
      </xdr:txBody>
    </xdr:sp>
    <xdr:clientData/>
  </xdr:twoCellAnchor>
  <xdr:twoCellAnchor>
    <xdr:from>
      <xdr:col>14</xdr:col>
      <xdr:colOff>57150</xdr:colOff>
      <xdr:row>177</xdr:row>
      <xdr:rowOff>85725</xdr:rowOff>
    </xdr:from>
    <xdr:to>
      <xdr:col>37</xdr:col>
      <xdr:colOff>38100</xdr:colOff>
      <xdr:row>181</xdr:row>
      <xdr:rowOff>9525</xdr:rowOff>
    </xdr:to>
    <xdr:sp macro="" textlink="">
      <xdr:nvSpPr>
        <xdr:cNvPr id="26713" name="AutoShape 89">
          <a:extLst>
            <a:ext uri="{FF2B5EF4-FFF2-40B4-BE49-F238E27FC236}">
              <a16:creationId xmlns:a16="http://schemas.microsoft.com/office/drawing/2014/main" id="{00000000-0008-0000-0200-000059680000}"/>
            </a:ext>
          </a:extLst>
        </xdr:cNvPr>
        <xdr:cNvSpPr>
          <a:spLocks noChangeArrowheads="1"/>
        </xdr:cNvSpPr>
      </xdr:nvSpPr>
      <xdr:spPr bwMode="auto">
        <a:xfrm>
          <a:off x="1343025" y="27498675"/>
          <a:ext cx="2171700" cy="571500"/>
        </a:xfrm>
        <a:prstGeom prst="wedgeRoundRectCallout">
          <a:avLst>
            <a:gd name="adj1" fmla="val -93861"/>
            <a:gd name="adj2" fmla="val 188333"/>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Note-1: Accum test plan&amp;result and remained test plan&amp;result are automatically calculated</a:t>
          </a:r>
        </a:p>
      </xdr:txBody>
    </xdr:sp>
    <xdr:clientData/>
  </xdr:twoCellAnchor>
  <xdr:twoCellAnchor>
    <xdr:from>
      <xdr:col>3</xdr:col>
      <xdr:colOff>66675</xdr:colOff>
      <xdr:row>184</xdr:row>
      <xdr:rowOff>38100</xdr:rowOff>
    </xdr:from>
    <xdr:to>
      <xdr:col>4</xdr:col>
      <xdr:colOff>47625</xdr:colOff>
      <xdr:row>187</xdr:row>
      <xdr:rowOff>104775</xdr:rowOff>
    </xdr:to>
    <xdr:sp macro="" textlink="">
      <xdr:nvSpPr>
        <xdr:cNvPr id="26714" name="AutoShape 90">
          <a:extLst>
            <a:ext uri="{FF2B5EF4-FFF2-40B4-BE49-F238E27FC236}">
              <a16:creationId xmlns:a16="http://schemas.microsoft.com/office/drawing/2014/main" id="{00000000-0008-0000-0200-00005A680000}"/>
            </a:ext>
          </a:extLst>
        </xdr:cNvPr>
        <xdr:cNvSpPr>
          <a:spLocks/>
        </xdr:cNvSpPr>
      </xdr:nvSpPr>
      <xdr:spPr bwMode="auto">
        <a:xfrm>
          <a:off x="304800" y="28584525"/>
          <a:ext cx="76200" cy="552450"/>
        </a:xfrm>
        <a:prstGeom prst="leftBrace">
          <a:avLst>
            <a:gd name="adj1" fmla="val 60417"/>
            <a:gd name="adj2" fmla="val 50000"/>
          </a:avLst>
        </a:prstGeom>
        <a:noFill/>
        <a:ln w="9525">
          <a:solidFill>
            <a:srgbClr val="000000"/>
          </a:solidFill>
          <a:round/>
          <a:headEnd/>
          <a:tailEnd/>
        </a:ln>
      </xdr:spPr>
    </xdr:sp>
    <xdr:clientData/>
  </xdr:twoCellAnchor>
  <xdr:twoCellAnchor>
    <xdr:from>
      <xdr:col>20</xdr:col>
      <xdr:colOff>28575</xdr:colOff>
      <xdr:row>251</xdr:row>
      <xdr:rowOff>142875</xdr:rowOff>
    </xdr:from>
    <xdr:to>
      <xdr:col>32</xdr:col>
      <xdr:colOff>57150</xdr:colOff>
      <xdr:row>254</xdr:row>
      <xdr:rowOff>38100</xdr:rowOff>
    </xdr:to>
    <xdr:sp macro="" textlink="">
      <xdr:nvSpPr>
        <xdr:cNvPr id="26676" name="AutoShape 52">
          <a:extLst>
            <a:ext uri="{FF2B5EF4-FFF2-40B4-BE49-F238E27FC236}">
              <a16:creationId xmlns:a16="http://schemas.microsoft.com/office/drawing/2014/main" id="{00000000-0008-0000-0200-000034680000}"/>
            </a:ext>
          </a:extLst>
        </xdr:cNvPr>
        <xdr:cNvSpPr>
          <a:spLocks noChangeArrowheads="1"/>
        </xdr:cNvSpPr>
      </xdr:nvSpPr>
      <xdr:spPr bwMode="auto">
        <a:xfrm>
          <a:off x="1885950" y="39538275"/>
          <a:ext cx="1171575" cy="381000"/>
        </a:xfrm>
        <a:prstGeom prst="wedgeRoundRectCallout">
          <a:avLst>
            <a:gd name="adj1" fmla="val 18292"/>
            <a:gd name="adj2" fmla="val 11750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 Fill in current total tasks</a:t>
          </a:r>
        </a:p>
      </xdr:txBody>
    </xdr:sp>
    <xdr:clientData/>
  </xdr:twoCellAnchor>
  <xdr:twoCellAnchor>
    <xdr:from>
      <xdr:col>33</xdr:col>
      <xdr:colOff>57150</xdr:colOff>
      <xdr:row>251</xdr:row>
      <xdr:rowOff>57150</xdr:rowOff>
    </xdr:from>
    <xdr:to>
      <xdr:col>48</xdr:col>
      <xdr:colOff>66675</xdr:colOff>
      <xdr:row>254</xdr:row>
      <xdr:rowOff>76200</xdr:rowOff>
    </xdr:to>
    <xdr:sp macro="" textlink="">
      <xdr:nvSpPr>
        <xdr:cNvPr id="26677" name="AutoShape 53">
          <a:extLst>
            <a:ext uri="{FF2B5EF4-FFF2-40B4-BE49-F238E27FC236}">
              <a16:creationId xmlns:a16="http://schemas.microsoft.com/office/drawing/2014/main" id="{00000000-0008-0000-0200-000035680000}"/>
            </a:ext>
          </a:extLst>
        </xdr:cNvPr>
        <xdr:cNvSpPr>
          <a:spLocks noChangeArrowheads="1"/>
        </xdr:cNvSpPr>
      </xdr:nvSpPr>
      <xdr:spPr bwMode="auto">
        <a:xfrm>
          <a:off x="3152775" y="39452550"/>
          <a:ext cx="1438275" cy="504825"/>
        </a:xfrm>
        <a:prstGeom prst="wedgeRoundRectCallout">
          <a:avLst>
            <a:gd name="adj1" fmla="val -27481"/>
            <a:gd name="adj2" fmla="val 104718"/>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 Fill in adjustment values of tasks (increase/ decrease)</a:t>
          </a:r>
        </a:p>
      </xdr:txBody>
    </xdr:sp>
    <xdr:clientData/>
  </xdr:twoCellAnchor>
  <xdr:twoCellAnchor>
    <xdr:from>
      <xdr:col>1</xdr:col>
      <xdr:colOff>28575</xdr:colOff>
      <xdr:row>253</xdr:row>
      <xdr:rowOff>114300</xdr:rowOff>
    </xdr:from>
    <xdr:to>
      <xdr:col>13</xdr:col>
      <xdr:colOff>57150</xdr:colOff>
      <xdr:row>258</xdr:row>
      <xdr:rowOff>57150</xdr:rowOff>
    </xdr:to>
    <xdr:sp macro="" textlink="">
      <xdr:nvSpPr>
        <xdr:cNvPr id="26678" name="AutoShape 54">
          <a:extLst>
            <a:ext uri="{FF2B5EF4-FFF2-40B4-BE49-F238E27FC236}">
              <a16:creationId xmlns:a16="http://schemas.microsoft.com/office/drawing/2014/main" id="{00000000-0008-0000-0200-000036680000}"/>
            </a:ext>
          </a:extLst>
        </xdr:cNvPr>
        <xdr:cNvSpPr>
          <a:spLocks noChangeArrowheads="1"/>
        </xdr:cNvSpPr>
      </xdr:nvSpPr>
      <xdr:spPr bwMode="auto">
        <a:xfrm>
          <a:off x="76200" y="39833550"/>
          <a:ext cx="1171575" cy="752475"/>
        </a:xfrm>
        <a:prstGeom prst="wedgeRoundRectCallout">
          <a:avLst>
            <a:gd name="adj1" fmla="val 146750"/>
            <a:gd name="adj2" fmla="val 84176"/>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Note-1: Automatically calculated = Accum (Last wk) + Achieve (This wk)</a:t>
          </a:r>
        </a:p>
      </xdr:txBody>
    </xdr:sp>
    <xdr:clientData/>
  </xdr:twoCellAnchor>
  <xdr:twoCellAnchor>
    <xdr:from>
      <xdr:col>49</xdr:col>
      <xdr:colOff>66675</xdr:colOff>
      <xdr:row>251</xdr:row>
      <xdr:rowOff>114300</xdr:rowOff>
    </xdr:from>
    <xdr:to>
      <xdr:col>63</xdr:col>
      <xdr:colOff>66675</xdr:colOff>
      <xdr:row>254</xdr:row>
      <xdr:rowOff>0</xdr:rowOff>
    </xdr:to>
    <xdr:sp macro="" textlink="">
      <xdr:nvSpPr>
        <xdr:cNvPr id="26679" name="AutoShape 55">
          <a:extLst>
            <a:ext uri="{FF2B5EF4-FFF2-40B4-BE49-F238E27FC236}">
              <a16:creationId xmlns:a16="http://schemas.microsoft.com/office/drawing/2014/main" id="{00000000-0008-0000-0200-000037680000}"/>
            </a:ext>
          </a:extLst>
        </xdr:cNvPr>
        <xdr:cNvSpPr>
          <a:spLocks noChangeArrowheads="1"/>
        </xdr:cNvSpPr>
      </xdr:nvSpPr>
      <xdr:spPr bwMode="auto">
        <a:xfrm>
          <a:off x="4686300" y="39509700"/>
          <a:ext cx="1333500" cy="371475"/>
        </a:xfrm>
        <a:prstGeom prst="wedgeRoundRectCallout">
          <a:avLst>
            <a:gd name="adj1" fmla="val -74287"/>
            <a:gd name="adj2" fmla="val 116667"/>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3: Fill in total tasks of last week</a:t>
          </a:r>
        </a:p>
      </xdr:txBody>
    </xdr:sp>
    <xdr:clientData/>
  </xdr:twoCellAnchor>
  <xdr:twoCellAnchor>
    <xdr:from>
      <xdr:col>2</xdr:col>
      <xdr:colOff>38100</xdr:colOff>
      <xdr:row>259</xdr:row>
      <xdr:rowOff>104775</xdr:rowOff>
    </xdr:from>
    <xdr:to>
      <xdr:col>16</xdr:col>
      <xdr:colOff>38100</xdr:colOff>
      <xdr:row>261</xdr:row>
      <xdr:rowOff>152400</xdr:rowOff>
    </xdr:to>
    <xdr:sp macro="" textlink="">
      <xdr:nvSpPr>
        <xdr:cNvPr id="26680" name="AutoShape 56">
          <a:extLst>
            <a:ext uri="{FF2B5EF4-FFF2-40B4-BE49-F238E27FC236}">
              <a16:creationId xmlns:a16="http://schemas.microsoft.com/office/drawing/2014/main" id="{00000000-0008-0000-0200-000038680000}"/>
            </a:ext>
          </a:extLst>
        </xdr:cNvPr>
        <xdr:cNvSpPr>
          <a:spLocks noChangeArrowheads="1"/>
        </xdr:cNvSpPr>
      </xdr:nvSpPr>
      <xdr:spPr bwMode="auto">
        <a:xfrm>
          <a:off x="180975" y="40795575"/>
          <a:ext cx="1333500" cy="371475"/>
        </a:xfrm>
        <a:prstGeom prst="wedgeRoundRectCallout">
          <a:avLst>
            <a:gd name="adj1" fmla="val 168569"/>
            <a:gd name="adj2" fmla="val -8972"/>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6: Fill in result of Accum. (Last wk)</a:t>
          </a:r>
        </a:p>
      </xdr:txBody>
    </xdr:sp>
    <xdr:clientData/>
  </xdr:twoCellAnchor>
  <xdr:twoCellAnchor>
    <xdr:from>
      <xdr:col>2</xdr:col>
      <xdr:colOff>28575</xdr:colOff>
      <xdr:row>262</xdr:row>
      <xdr:rowOff>152400</xdr:rowOff>
    </xdr:from>
    <xdr:to>
      <xdr:col>16</xdr:col>
      <xdr:colOff>28575</xdr:colOff>
      <xdr:row>265</xdr:row>
      <xdr:rowOff>38100</xdr:rowOff>
    </xdr:to>
    <xdr:sp macro="" textlink="">
      <xdr:nvSpPr>
        <xdr:cNvPr id="26681" name="AutoShape 57">
          <a:extLst>
            <a:ext uri="{FF2B5EF4-FFF2-40B4-BE49-F238E27FC236}">
              <a16:creationId xmlns:a16="http://schemas.microsoft.com/office/drawing/2014/main" id="{00000000-0008-0000-0200-000039680000}"/>
            </a:ext>
          </a:extLst>
        </xdr:cNvPr>
        <xdr:cNvSpPr>
          <a:spLocks noChangeArrowheads="1"/>
        </xdr:cNvSpPr>
      </xdr:nvSpPr>
      <xdr:spPr bwMode="auto">
        <a:xfrm>
          <a:off x="171450" y="41328975"/>
          <a:ext cx="1333500" cy="371475"/>
        </a:xfrm>
        <a:prstGeom prst="wedgeRoundRectCallout">
          <a:avLst>
            <a:gd name="adj1" fmla="val 224287"/>
            <a:gd name="adj2" fmla="val -14487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7: Fill in result of achieve (This wk)</a:t>
          </a:r>
        </a:p>
      </xdr:txBody>
    </xdr:sp>
    <xdr:clientData/>
  </xdr:twoCellAnchor>
  <xdr:twoCellAnchor>
    <xdr:from>
      <xdr:col>67</xdr:col>
      <xdr:colOff>47625</xdr:colOff>
      <xdr:row>256</xdr:row>
      <xdr:rowOff>0</xdr:rowOff>
    </xdr:from>
    <xdr:to>
      <xdr:col>81</xdr:col>
      <xdr:colOff>47625</xdr:colOff>
      <xdr:row>258</xdr:row>
      <xdr:rowOff>47625</xdr:rowOff>
    </xdr:to>
    <xdr:sp macro="" textlink="">
      <xdr:nvSpPr>
        <xdr:cNvPr id="26682" name="AutoShape 58">
          <a:extLst>
            <a:ext uri="{FF2B5EF4-FFF2-40B4-BE49-F238E27FC236}">
              <a16:creationId xmlns:a16="http://schemas.microsoft.com/office/drawing/2014/main" id="{00000000-0008-0000-0200-00003A680000}"/>
            </a:ext>
          </a:extLst>
        </xdr:cNvPr>
        <xdr:cNvSpPr>
          <a:spLocks noChangeArrowheads="1"/>
        </xdr:cNvSpPr>
      </xdr:nvSpPr>
      <xdr:spPr bwMode="auto">
        <a:xfrm>
          <a:off x="6381750" y="40205025"/>
          <a:ext cx="1333500" cy="371475"/>
        </a:xfrm>
        <a:prstGeom prst="wedgeRoundRectCallout">
          <a:avLst>
            <a:gd name="adj1" fmla="val -152856"/>
            <a:gd name="adj2" fmla="val 103847"/>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8: Fill in accum plan of this week</a:t>
          </a:r>
        </a:p>
      </xdr:txBody>
    </xdr:sp>
    <xdr:clientData/>
  </xdr:twoCellAnchor>
  <xdr:twoCellAnchor>
    <xdr:from>
      <xdr:col>72</xdr:col>
      <xdr:colOff>66675</xdr:colOff>
      <xdr:row>258</xdr:row>
      <xdr:rowOff>152400</xdr:rowOff>
    </xdr:from>
    <xdr:to>
      <xdr:col>86</xdr:col>
      <xdr:colOff>66675</xdr:colOff>
      <xdr:row>261</xdr:row>
      <xdr:rowOff>38100</xdr:rowOff>
    </xdr:to>
    <xdr:sp macro="" textlink="">
      <xdr:nvSpPr>
        <xdr:cNvPr id="26683" name="AutoShape 59">
          <a:extLst>
            <a:ext uri="{FF2B5EF4-FFF2-40B4-BE49-F238E27FC236}">
              <a16:creationId xmlns:a16="http://schemas.microsoft.com/office/drawing/2014/main" id="{00000000-0008-0000-0200-00003B680000}"/>
            </a:ext>
          </a:extLst>
        </xdr:cNvPr>
        <xdr:cNvSpPr>
          <a:spLocks noChangeArrowheads="1"/>
        </xdr:cNvSpPr>
      </xdr:nvSpPr>
      <xdr:spPr bwMode="auto">
        <a:xfrm>
          <a:off x="6877050" y="40681275"/>
          <a:ext cx="1333500" cy="371475"/>
        </a:xfrm>
        <a:prstGeom prst="wedgeRoundRectCallout">
          <a:avLst>
            <a:gd name="adj1" fmla="val -124287"/>
            <a:gd name="adj2" fmla="val -14102"/>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9: Fill in Progress (+ advance, - delay)</a:t>
          </a:r>
        </a:p>
      </xdr:txBody>
    </xdr:sp>
    <xdr:clientData/>
  </xdr:twoCellAnchor>
  <xdr:twoCellAnchor>
    <xdr:from>
      <xdr:col>75</xdr:col>
      <xdr:colOff>66675</xdr:colOff>
      <xdr:row>261</xdr:row>
      <xdr:rowOff>95250</xdr:rowOff>
    </xdr:from>
    <xdr:to>
      <xdr:col>89</xdr:col>
      <xdr:colOff>66675</xdr:colOff>
      <xdr:row>264</xdr:row>
      <xdr:rowOff>152400</xdr:rowOff>
    </xdr:to>
    <xdr:sp macro="" textlink="">
      <xdr:nvSpPr>
        <xdr:cNvPr id="26684" name="AutoShape 60">
          <a:extLst>
            <a:ext uri="{FF2B5EF4-FFF2-40B4-BE49-F238E27FC236}">
              <a16:creationId xmlns:a16="http://schemas.microsoft.com/office/drawing/2014/main" id="{00000000-0008-0000-0200-00003C680000}"/>
            </a:ext>
          </a:extLst>
        </xdr:cNvPr>
        <xdr:cNvSpPr>
          <a:spLocks noChangeArrowheads="1"/>
        </xdr:cNvSpPr>
      </xdr:nvSpPr>
      <xdr:spPr bwMode="auto">
        <a:xfrm>
          <a:off x="7162800" y="41109900"/>
          <a:ext cx="1333500" cy="542925"/>
        </a:xfrm>
        <a:prstGeom prst="wedgeRoundRectCallout">
          <a:avLst>
            <a:gd name="adj1" fmla="val -111431"/>
            <a:gd name="adj2" fmla="val -79824"/>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10: Fill in Evaluation (A,B,C,D : see meaning above)</a:t>
          </a:r>
        </a:p>
      </xdr:txBody>
    </xdr:sp>
    <xdr:clientData/>
  </xdr:twoCellAnchor>
  <xdr:twoCellAnchor>
    <xdr:from>
      <xdr:col>4</xdr:col>
      <xdr:colOff>9525</xdr:colOff>
      <xdr:row>280</xdr:row>
      <xdr:rowOff>47625</xdr:rowOff>
    </xdr:from>
    <xdr:to>
      <xdr:col>18</xdr:col>
      <xdr:colOff>47625</xdr:colOff>
      <xdr:row>284</xdr:row>
      <xdr:rowOff>76200</xdr:rowOff>
    </xdr:to>
    <xdr:sp macro="" textlink="">
      <xdr:nvSpPr>
        <xdr:cNvPr id="26685" name="AutoShape 61">
          <a:extLst>
            <a:ext uri="{FF2B5EF4-FFF2-40B4-BE49-F238E27FC236}">
              <a16:creationId xmlns:a16="http://schemas.microsoft.com/office/drawing/2014/main" id="{00000000-0008-0000-0200-00003D680000}"/>
            </a:ext>
          </a:extLst>
        </xdr:cNvPr>
        <xdr:cNvSpPr>
          <a:spLocks noChangeArrowheads="1"/>
        </xdr:cNvSpPr>
      </xdr:nvSpPr>
      <xdr:spPr bwMode="auto">
        <a:xfrm>
          <a:off x="342900" y="44138850"/>
          <a:ext cx="1371600" cy="676275"/>
        </a:xfrm>
        <a:prstGeom prst="wedgeRoundRectCallout">
          <a:avLst>
            <a:gd name="adj1" fmla="val 96528"/>
            <a:gd name="adj2" fmla="val -57042"/>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Note-5: Automatically calculated = Remained (Last wk) + New (This wk) - Solved (This wk)</a:t>
          </a:r>
        </a:p>
      </xdr:txBody>
    </xdr:sp>
    <xdr:clientData/>
  </xdr:twoCellAnchor>
  <xdr:twoCellAnchor>
    <xdr:from>
      <xdr:col>5</xdr:col>
      <xdr:colOff>28575</xdr:colOff>
      <xdr:row>276</xdr:row>
      <xdr:rowOff>152400</xdr:rowOff>
    </xdr:from>
    <xdr:to>
      <xdr:col>19</xdr:col>
      <xdr:colOff>28575</xdr:colOff>
      <xdr:row>279</xdr:row>
      <xdr:rowOff>95250</xdr:rowOff>
    </xdr:to>
    <xdr:sp macro="" textlink="">
      <xdr:nvSpPr>
        <xdr:cNvPr id="26686" name="AutoShape 62">
          <a:extLst>
            <a:ext uri="{FF2B5EF4-FFF2-40B4-BE49-F238E27FC236}">
              <a16:creationId xmlns:a16="http://schemas.microsoft.com/office/drawing/2014/main" id="{00000000-0008-0000-0200-00003E680000}"/>
            </a:ext>
          </a:extLst>
        </xdr:cNvPr>
        <xdr:cNvSpPr>
          <a:spLocks noChangeArrowheads="1"/>
        </xdr:cNvSpPr>
      </xdr:nvSpPr>
      <xdr:spPr bwMode="auto">
        <a:xfrm>
          <a:off x="457200" y="43595925"/>
          <a:ext cx="1333500" cy="428625"/>
        </a:xfrm>
        <a:prstGeom prst="wedgeRoundRectCallout">
          <a:avLst>
            <a:gd name="adj1" fmla="val 169287"/>
            <a:gd name="adj2" fmla="val 65556"/>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14: Fill in Remained issue of last week</a:t>
          </a:r>
        </a:p>
      </xdr:txBody>
    </xdr:sp>
    <xdr:clientData/>
  </xdr:twoCellAnchor>
  <xdr:twoCellAnchor>
    <xdr:from>
      <xdr:col>64</xdr:col>
      <xdr:colOff>66675</xdr:colOff>
      <xdr:row>276</xdr:row>
      <xdr:rowOff>28575</xdr:rowOff>
    </xdr:from>
    <xdr:to>
      <xdr:col>78</xdr:col>
      <xdr:colOff>66675</xdr:colOff>
      <xdr:row>278</xdr:row>
      <xdr:rowOff>133350</xdr:rowOff>
    </xdr:to>
    <xdr:sp macro="" textlink="">
      <xdr:nvSpPr>
        <xdr:cNvPr id="26687" name="AutoShape 63">
          <a:extLst>
            <a:ext uri="{FF2B5EF4-FFF2-40B4-BE49-F238E27FC236}">
              <a16:creationId xmlns:a16="http://schemas.microsoft.com/office/drawing/2014/main" id="{00000000-0008-0000-0200-00003F680000}"/>
            </a:ext>
          </a:extLst>
        </xdr:cNvPr>
        <xdr:cNvSpPr>
          <a:spLocks noChangeArrowheads="1"/>
        </xdr:cNvSpPr>
      </xdr:nvSpPr>
      <xdr:spPr bwMode="auto">
        <a:xfrm>
          <a:off x="6115050" y="43472100"/>
          <a:ext cx="1333500" cy="428625"/>
        </a:xfrm>
        <a:prstGeom prst="wedgeRoundRectCallout">
          <a:avLst>
            <a:gd name="adj1" fmla="val -126431"/>
            <a:gd name="adj2" fmla="val 85556"/>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15: Fill in new issues found this week</a:t>
          </a:r>
        </a:p>
      </xdr:txBody>
    </xdr:sp>
    <xdr:clientData/>
  </xdr:twoCellAnchor>
  <xdr:twoCellAnchor>
    <xdr:from>
      <xdr:col>72</xdr:col>
      <xdr:colOff>57150</xdr:colOff>
      <xdr:row>279</xdr:row>
      <xdr:rowOff>95250</xdr:rowOff>
    </xdr:from>
    <xdr:to>
      <xdr:col>86</xdr:col>
      <xdr:colOff>57150</xdr:colOff>
      <xdr:row>282</xdr:row>
      <xdr:rowOff>38100</xdr:rowOff>
    </xdr:to>
    <xdr:sp macro="" textlink="">
      <xdr:nvSpPr>
        <xdr:cNvPr id="26688" name="AutoShape 64">
          <a:extLst>
            <a:ext uri="{FF2B5EF4-FFF2-40B4-BE49-F238E27FC236}">
              <a16:creationId xmlns:a16="http://schemas.microsoft.com/office/drawing/2014/main" id="{00000000-0008-0000-0200-000040680000}"/>
            </a:ext>
          </a:extLst>
        </xdr:cNvPr>
        <xdr:cNvSpPr>
          <a:spLocks noChangeArrowheads="1"/>
        </xdr:cNvSpPr>
      </xdr:nvSpPr>
      <xdr:spPr bwMode="auto">
        <a:xfrm>
          <a:off x="6867525" y="44024550"/>
          <a:ext cx="1333500" cy="428625"/>
        </a:xfrm>
        <a:prstGeom prst="wedgeRoundRectCallout">
          <a:avLst>
            <a:gd name="adj1" fmla="val -90000"/>
            <a:gd name="adj2" fmla="val -32222"/>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16: Fill in issues resolved this week</a:t>
          </a:r>
        </a:p>
      </xdr:txBody>
    </xdr:sp>
    <xdr:clientData/>
  </xdr:twoCellAnchor>
  <xdr:twoCellAnchor>
    <xdr:from>
      <xdr:col>13</xdr:col>
      <xdr:colOff>0</xdr:colOff>
      <xdr:row>286</xdr:row>
      <xdr:rowOff>152400</xdr:rowOff>
    </xdr:from>
    <xdr:to>
      <xdr:col>27</xdr:col>
      <xdr:colOff>66675</xdr:colOff>
      <xdr:row>288</xdr:row>
      <xdr:rowOff>142875</xdr:rowOff>
    </xdr:to>
    <xdr:sp macro="" textlink="">
      <xdr:nvSpPr>
        <xdr:cNvPr id="26689" name="AutoShape 65">
          <a:extLst>
            <a:ext uri="{FF2B5EF4-FFF2-40B4-BE49-F238E27FC236}">
              <a16:creationId xmlns:a16="http://schemas.microsoft.com/office/drawing/2014/main" id="{00000000-0008-0000-0200-000041680000}"/>
            </a:ext>
          </a:extLst>
        </xdr:cNvPr>
        <xdr:cNvSpPr>
          <a:spLocks noChangeArrowheads="1"/>
        </xdr:cNvSpPr>
      </xdr:nvSpPr>
      <xdr:spPr bwMode="auto">
        <a:xfrm>
          <a:off x="1190625" y="45215175"/>
          <a:ext cx="1400175" cy="314325"/>
        </a:xfrm>
        <a:prstGeom prst="wedgeRoundRectCallout">
          <a:avLst>
            <a:gd name="adj1" fmla="val 102380"/>
            <a:gd name="adj2" fmla="val -153032"/>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17: Fill in CR Form A's Accum CRs of this week</a:t>
          </a:r>
        </a:p>
      </xdr:txBody>
    </xdr:sp>
    <xdr:clientData/>
  </xdr:twoCellAnchor>
  <xdr:twoCellAnchor>
    <xdr:from>
      <xdr:col>47</xdr:col>
      <xdr:colOff>28575</xdr:colOff>
      <xdr:row>286</xdr:row>
      <xdr:rowOff>123825</xdr:rowOff>
    </xdr:from>
    <xdr:to>
      <xdr:col>57</xdr:col>
      <xdr:colOff>28575</xdr:colOff>
      <xdr:row>289</xdr:row>
      <xdr:rowOff>104775</xdr:rowOff>
    </xdr:to>
    <xdr:sp macro="" textlink="">
      <xdr:nvSpPr>
        <xdr:cNvPr id="26690" name="AutoShape 66">
          <a:extLst>
            <a:ext uri="{FF2B5EF4-FFF2-40B4-BE49-F238E27FC236}">
              <a16:creationId xmlns:a16="http://schemas.microsoft.com/office/drawing/2014/main" id="{00000000-0008-0000-0200-000042680000}"/>
            </a:ext>
          </a:extLst>
        </xdr:cNvPr>
        <xdr:cNvSpPr>
          <a:spLocks noChangeArrowheads="1"/>
        </xdr:cNvSpPr>
      </xdr:nvSpPr>
      <xdr:spPr bwMode="auto">
        <a:xfrm>
          <a:off x="4457700" y="45186600"/>
          <a:ext cx="952500" cy="466725"/>
        </a:xfrm>
        <a:prstGeom prst="wedgeRoundRectCallout">
          <a:avLst>
            <a:gd name="adj1" fmla="val -5000"/>
            <a:gd name="adj2" fmla="val -10306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18: Fill in CR Form A's Accum CRs of last week</a:t>
          </a:r>
        </a:p>
      </xdr:txBody>
    </xdr:sp>
    <xdr:clientData/>
  </xdr:twoCellAnchor>
  <xdr:twoCellAnchor>
    <xdr:from>
      <xdr:col>57</xdr:col>
      <xdr:colOff>85725</xdr:colOff>
      <xdr:row>286</xdr:row>
      <xdr:rowOff>114300</xdr:rowOff>
    </xdr:from>
    <xdr:to>
      <xdr:col>68</xdr:col>
      <xdr:colOff>38100</xdr:colOff>
      <xdr:row>289</xdr:row>
      <xdr:rowOff>104775</xdr:rowOff>
    </xdr:to>
    <xdr:sp macro="" textlink="">
      <xdr:nvSpPr>
        <xdr:cNvPr id="26691" name="AutoShape 67">
          <a:extLst>
            <a:ext uri="{FF2B5EF4-FFF2-40B4-BE49-F238E27FC236}">
              <a16:creationId xmlns:a16="http://schemas.microsoft.com/office/drawing/2014/main" id="{00000000-0008-0000-0200-000043680000}"/>
            </a:ext>
          </a:extLst>
        </xdr:cNvPr>
        <xdr:cNvSpPr>
          <a:spLocks noChangeArrowheads="1"/>
        </xdr:cNvSpPr>
      </xdr:nvSpPr>
      <xdr:spPr bwMode="auto">
        <a:xfrm>
          <a:off x="5467350" y="45177075"/>
          <a:ext cx="1000125" cy="476250"/>
        </a:xfrm>
        <a:prstGeom prst="wedgeRoundRectCallout">
          <a:avLst>
            <a:gd name="adj1" fmla="val -30000"/>
            <a:gd name="adj2" fmla="val -10600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19: Fill in CR Form B's Accum CRs of this week</a:t>
          </a:r>
        </a:p>
      </xdr:txBody>
    </xdr:sp>
    <xdr:clientData/>
  </xdr:twoCellAnchor>
  <xdr:twoCellAnchor>
    <xdr:from>
      <xdr:col>83</xdr:col>
      <xdr:colOff>9525</xdr:colOff>
      <xdr:row>283</xdr:row>
      <xdr:rowOff>85725</xdr:rowOff>
    </xdr:from>
    <xdr:to>
      <xdr:col>99</xdr:col>
      <xdr:colOff>38100</xdr:colOff>
      <xdr:row>285</xdr:row>
      <xdr:rowOff>133350</xdr:rowOff>
    </xdr:to>
    <xdr:sp macro="" textlink="">
      <xdr:nvSpPr>
        <xdr:cNvPr id="26692" name="AutoShape 68">
          <a:extLst>
            <a:ext uri="{FF2B5EF4-FFF2-40B4-BE49-F238E27FC236}">
              <a16:creationId xmlns:a16="http://schemas.microsoft.com/office/drawing/2014/main" id="{00000000-0008-0000-0200-000044680000}"/>
            </a:ext>
          </a:extLst>
        </xdr:cNvPr>
        <xdr:cNvSpPr>
          <a:spLocks noChangeArrowheads="1"/>
        </xdr:cNvSpPr>
      </xdr:nvSpPr>
      <xdr:spPr bwMode="auto">
        <a:xfrm>
          <a:off x="7867650" y="44662725"/>
          <a:ext cx="1552575" cy="371475"/>
        </a:xfrm>
        <a:prstGeom prst="wedgeRoundRectCallout">
          <a:avLst>
            <a:gd name="adj1" fmla="val -69019"/>
            <a:gd name="adj2" fmla="val 1282"/>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20: Fill in CR Form B's Accum CRs of last week</a:t>
          </a:r>
        </a:p>
      </xdr:txBody>
    </xdr:sp>
    <xdr:clientData/>
  </xdr:twoCellAnchor>
  <xdr:twoCellAnchor>
    <xdr:from>
      <xdr:col>64</xdr:col>
      <xdr:colOff>38100</xdr:colOff>
      <xdr:row>251</xdr:row>
      <xdr:rowOff>142875</xdr:rowOff>
    </xdr:from>
    <xdr:to>
      <xdr:col>76</xdr:col>
      <xdr:colOff>85725</xdr:colOff>
      <xdr:row>253</xdr:row>
      <xdr:rowOff>123825</xdr:rowOff>
    </xdr:to>
    <xdr:sp macro="" textlink="">
      <xdr:nvSpPr>
        <xdr:cNvPr id="26721" name="AutoShape 97">
          <a:extLst>
            <a:ext uri="{FF2B5EF4-FFF2-40B4-BE49-F238E27FC236}">
              <a16:creationId xmlns:a16="http://schemas.microsoft.com/office/drawing/2014/main" id="{00000000-0008-0000-0200-000061680000}"/>
            </a:ext>
          </a:extLst>
        </xdr:cNvPr>
        <xdr:cNvSpPr>
          <a:spLocks noChangeArrowheads="1"/>
        </xdr:cNvSpPr>
      </xdr:nvSpPr>
      <xdr:spPr bwMode="auto">
        <a:xfrm>
          <a:off x="6086475" y="39538275"/>
          <a:ext cx="1190625" cy="304800"/>
        </a:xfrm>
        <a:prstGeom prst="wedgeRoundRectCallout">
          <a:avLst>
            <a:gd name="adj1" fmla="val -150801"/>
            <a:gd name="adj2" fmla="val 16250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4: Fill in total FP</a:t>
          </a:r>
        </a:p>
      </xdr:txBody>
    </xdr:sp>
    <xdr:clientData/>
  </xdr:twoCellAnchor>
  <xdr:twoCellAnchor>
    <xdr:from>
      <xdr:col>78</xdr:col>
      <xdr:colOff>0</xdr:colOff>
      <xdr:row>252</xdr:row>
      <xdr:rowOff>19050</xdr:rowOff>
    </xdr:from>
    <xdr:to>
      <xdr:col>90</xdr:col>
      <xdr:colOff>47625</xdr:colOff>
      <xdr:row>254</xdr:row>
      <xdr:rowOff>0</xdr:rowOff>
    </xdr:to>
    <xdr:sp macro="" textlink="">
      <xdr:nvSpPr>
        <xdr:cNvPr id="26722" name="AutoShape 98">
          <a:extLst>
            <a:ext uri="{FF2B5EF4-FFF2-40B4-BE49-F238E27FC236}">
              <a16:creationId xmlns:a16="http://schemas.microsoft.com/office/drawing/2014/main" id="{00000000-0008-0000-0200-000062680000}"/>
            </a:ext>
          </a:extLst>
        </xdr:cNvPr>
        <xdr:cNvSpPr>
          <a:spLocks noChangeArrowheads="1"/>
        </xdr:cNvSpPr>
      </xdr:nvSpPr>
      <xdr:spPr bwMode="auto">
        <a:xfrm>
          <a:off x="7381875" y="39576375"/>
          <a:ext cx="1190625" cy="304800"/>
        </a:xfrm>
        <a:prstGeom prst="wedgeRoundRectCallout">
          <a:avLst>
            <a:gd name="adj1" fmla="val -178000"/>
            <a:gd name="adj2" fmla="val 165625"/>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5: Fill in total test cases</a:t>
          </a:r>
        </a:p>
      </xdr:txBody>
    </xdr:sp>
    <xdr:clientData/>
  </xdr:twoCellAnchor>
  <xdr:twoCellAnchor>
    <xdr:from>
      <xdr:col>10</xdr:col>
      <xdr:colOff>76200</xdr:colOff>
      <xdr:row>271</xdr:row>
      <xdr:rowOff>114300</xdr:rowOff>
    </xdr:from>
    <xdr:to>
      <xdr:col>24</xdr:col>
      <xdr:colOff>76200</xdr:colOff>
      <xdr:row>275</xdr:row>
      <xdr:rowOff>9525</xdr:rowOff>
    </xdr:to>
    <xdr:sp macro="" textlink="">
      <xdr:nvSpPr>
        <xdr:cNvPr id="26725" name="AutoShape 101">
          <a:extLst>
            <a:ext uri="{FF2B5EF4-FFF2-40B4-BE49-F238E27FC236}">
              <a16:creationId xmlns:a16="http://schemas.microsoft.com/office/drawing/2014/main" id="{00000000-0008-0000-0200-000065680000}"/>
            </a:ext>
          </a:extLst>
        </xdr:cNvPr>
        <xdr:cNvSpPr>
          <a:spLocks noChangeArrowheads="1"/>
        </xdr:cNvSpPr>
      </xdr:nvSpPr>
      <xdr:spPr bwMode="auto">
        <a:xfrm>
          <a:off x="981075" y="42748200"/>
          <a:ext cx="1333500" cy="542925"/>
        </a:xfrm>
        <a:prstGeom prst="wedgeRoundRectCallout">
          <a:avLst>
            <a:gd name="adj1" fmla="val 51431"/>
            <a:gd name="adj2" fmla="val -185088"/>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11: Fill in Accum Tested FP for each type of functions</a:t>
          </a:r>
        </a:p>
      </xdr:txBody>
    </xdr:sp>
    <xdr:clientData/>
  </xdr:twoCellAnchor>
  <xdr:twoCellAnchor>
    <xdr:from>
      <xdr:col>57</xdr:col>
      <xdr:colOff>66675</xdr:colOff>
      <xdr:row>269</xdr:row>
      <xdr:rowOff>104775</xdr:rowOff>
    </xdr:from>
    <xdr:to>
      <xdr:col>73</xdr:col>
      <xdr:colOff>0</xdr:colOff>
      <xdr:row>273</xdr:row>
      <xdr:rowOff>38100</xdr:rowOff>
    </xdr:to>
    <xdr:sp macro="" textlink="">
      <xdr:nvSpPr>
        <xdr:cNvPr id="26726" name="AutoShape 102">
          <a:extLst>
            <a:ext uri="{FF2B5EF4-FFF2-40B4-BE49-F238E27FC236}">
              <a16:creationId xmlns:a16="http://schemas.microsoft.com/office/drawing/2014/main" id="{00000000-0008-0000-0200-000066680000}"/>
            </a:ext>
          </a:extLst>
        </xdr:cNvPr>
        <xdr:cNvSpPr>
          <a:spLocks noChangeArrowheads="1"/>
        </xdr:cNvSpPr>
      </xdr:nvSpPr>
      <xdr:spPr bwMode="auto">
        <a:xfrm>
          <a:off x="5448300" y="42414825"/>
          <a:ext cx="1457325" cy="581025"/>
        </a:xfrm>
        <a:prstGeom prst="wedgeRoundRectCallout">
          <a:avLst>
            <a:gd name="adj1" fmla="val 12093"/>
            <a:gd name="adj2" fmla="val -118852"/>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12: Fill in Accum Tested, incident detected&amp;fixed of last week</a:t>
          </a:r>
        </a:p>
      </xdr:txBody>
    </xdr:sp>
    <xdr:clientData/>
  </xdr:twoCellAnchor>
  <xdr:twoCellAnchor>
    <xdr:from>
      <xdr:col>25</xdr:col>
      <xdr:colOff>76200</xdr:colOff>
      <xdr:row>274</xdr:row>
      <xdr:rowOff>142875</xdr:rowOff>
    </xdr:from>
    <xdr:to>
      <xdr:col>40</xdr:col>
      <xdr:colOff>19050</xdr:colOff>
      <xdr:row>277</xdr:row>
      <xdr:rowOff>57150</xdr:rowOff>
    </xdr:to>
    <xdr:sp macro="" textlink="">
      <xdr:nvSpPr>
        <xdr:cNvPr id="26727" name="AutoShape 103">
          <a:extLst>
            <a:ext uri="{FF2B5EF4-FFF2-40B4-BE49-F238E27FC236}">
              <a16:creationId xmlns:a16="http://schemas.microsoft.com/office/drawing/2014/main" id="{00000000-0008-0000-0200-000067680000}"/>
            </a:ext>
          </a:extLst>
        </xdr:cNvPr>
        <xdr:cNvSpPr>
          <a:spLocks noChangeArrowheads="1"/>
        </xdr:cNvSpPr>
      </xdr:nvSpPr>
      <xdr:spPr bwMode="auto">
        <a:xfrm>
          <a:off x="2409825" y="43262550"/>
          <a:ext cx="1371600" cy="400050"/>
        </a:xfrm>
        <a:prstGeom prst="wedgeRoundRectCallout">
          <a:avLst>
            <a:gd name="adj1" fmla="val 69444"/>
            <a:gd name="adj2" fmla="val -330954"/>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Note-2: Automatically calculated for test density</a:t>
          </a:r>
        </a:p>
      </xdr:txBody>
    </xdr:sp>
    <xdr:clientData/>
  </xdr:twoCellAnchor>
  <xdr:twoCellAnchor>
    <xdr:from>
      <xdr:col>41</xdr:col>
      <xdr:colOff>85725</xdr:colOff>
      <xdr:row>274</xdr:row>
      <xdr:rowOff>152400</xdr:rowOff>
    </xdr:from>
    <xdr:to>
      <xdr:col>56</xdr:col>
      <xdr:colOff>28575</xdr:colOff>
      <xdr:row>278</xdr:row>
      <xdr:rowOff>85725</xdr:rowOff>
    </xdr:to>
    <xdr:sp macro="" textlink="">
      <xdr:nvSpPr>
        <xdr:cNvPr id="26728" name="AutoShape 104">
          <a:extLst>
            <a:ext uri="{FF2B5EF4-FFF2-40B4-BE49-F238E27FC236}">
              <a16:creationId xmlns:a16="http://schemas.microsoft.com/office/drawing/2014/main" id="{00000000-0008-0000-0200-000068680000}"/>
            </a:ext>
          </a:extLst>
        </xdr:cNvPr>
        <xdr:cNvSpPr>
          <a:spLocks noChangeArrowheads="1"/>
        </xdr:cNvSpPr>
      </xdr:nvSpPr>
      <xdr:spPr bwMode="auto">
        <a:xfrm>
          <a:off x="3943350" y="43272075"/>
          <a:ext cx="1371600" cy="581025"/>
        </a:xfrm>
        <a:prstGeom prst="wedgeRoundRectCallout">
          <a:avLst>
            <a:gd name="adj1" fmla="val 9028"/>
            <a:gd name="adj2" fmla="val -131968"/>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Note-3: Automatically calculated for incident detection</a:t>
          </a:r>
        </a:p>
      </xdr:txBody>
    </xdr:sp>
    <xdr:clientData/>
  </xdr:twoCellAnchor>
  <xdr:twoCellAnchor>
    <xdr:from>
      <xdr:col>46</xdr:col>
      <xdr:colOff>76200</xdr:colOff>
      <xdr:row>261</xdr:row>
      <xdr:rowOff>123825</xdr:rowOff>
    </xdr:from>
    <xdr:to>
      <xdr:col>66</xdr:col>
      <xdr:colOff>0</xdr:colOff>
      <xdr:row>265</xdr:row>
      <xdr:rowOff>38100</xdr:rowOff>
    </xdr:to>
    <xdr:sp macro="" textlink="">
      <xdr:nvSpPr>
        <xdr:cNvPr id="26730" name="AutoShape 106">
          <a:extLst>
            <a:ext uri="{FF2B5EF4-FFF2-40B4-BE49-F238E27FC236}">
              <a16:creationId xmlns:a16="http://schemas.microsoft.com/office/drawing/2014/main" id="{00000000-0008-0000-0200-00006A680000}"/>
            </a:ext>
          </a:extLst>
        </xdr:cNvPr>
        <xdr:cNvSpPr>
          <a:spLocks noChangeArrowheads="1"/>
        </xdr:cNvSpPr>
      </xdr:nvSpPr>
      <xdr:spPr bwMode="auto">
        <a:xfrm>
          <a:off x="4410075" y="41138475"/>
          <a:ext cx="1828800" cy="561975"/>
        </a:xfrm>
        <a:prstGeom prst="wedgeRoundRectCallout">
          <a:avLst>
            <a:gd name="adj1" fmla="val 13542"/>
            <a:gd name="adj2" fmla="val 73727"/>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Note-4:  Automatically calculated for Accum Tested, incident detected&amp;fixed of this week</a:t>
          </a:r>
        </a:p>
      </xdr:txBody>
    </xdr:sp>
    <xdr:clientData/>
  </xdr:twoCellAnchor>
  <xdr:twoCellAnchor>
    <xdr:from>
      <xdr:col>80</xdr:col>
      <xdr:colOff>47625</xdr:colOff>
      <xdr:row>269</xdr:row>
      <xdr:rowOff>123825</xdr:rowOff>
    </xdr:from>
    <xdr:to>
      <xdr:col>95</xdr:col>
      <xdr:colOff>76200</xdr:colOff>
      <xdr:row>273</xdr:row>
      <xdr:rowOff>142875</xdr:rowOff>
    </xdr:to>
    <xdr:sp macro="" textlink="">
      <xdr:nvSpPr>
        <xdr:cNvPr id="26731" name="AutoShape 107">
          <a:extLst>
            <a:ext uri="{FF2B5EF4-FFF2-40B4-BE49-F238E27FC236}">
              <a16:creationId xmlns:a16="http://schemas.microsoft.com/office/drawing/2014/main" id="{00000000-0008-0000-0200-00006B680000}"/>
            </a:ext>
          </a:extLst>
        </xdr:cNvPr>
        <xdr:cNvSpPr>
          <a:spLocks noChangeArrowheads="1"/>
        </xdr:cNvSpPr>
      </xdr:nvSpPr>
      <xdr:spPr bwMode="auto">
        <a:xfrm>
          <a:off x="7620000" y="42433875"/>
          <a:ext cx="1457325" cy="666750"/>
        </a:xfrm>
        <a:prstGeom prst="wedgeRoundRectCallout">
          <a:avLst>
            <a:gd name="adj1" fmla="val -71569"/>
            <a:gd name="adj2" fmla="val -122856"/>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13: Fill in Tested, incident detected&amp;fixed achieved this week</a:t>
          </a:r>
        </a:p>
      </xdr:txBody>
    </xdr:sp>
    <xdr:clientData/>
  </xdr:twoCellAnchor>
  <xdr:twoCellAnchor editAs="oneCell">
    <xdr:from>
      <xdr:col>10</xdr:col>
      <xdr:colOff>66675</xdr:colOff>
      <xdr:row>389</xdr:row>
      <xdr:rowOff>38100</xdr:rowOff>
    </xdr:from>
    <xdr:to>
      <xdr:col>73</xdr:col>
      <xdr:colOff>85725</xdr:colOff>
      <xdr:row>399</xdr:row>
      <xdr:rowOff>133350</xdr:rowOff>
    </xdr:to>
    <xdr:pic>
      <xdr:nvPicPr>
        <xdr:cNvPr id="26732" name="Picture 108">
          <a:extLst>
            <a:ext uri="{FF2B5EF4-FFF2-40B4-BE49-F238E27FC236}">
              <a16:creationId xmlns:a16="http://schemas.microsoft.com/office/drawing/2014/main" id="{00000000-0008-0000-0200-00006C680000}"/>
            </a:ext>
          </a:extLst>
        </xdr:cNvPr>
        <xdr:cNvPicPr>
          <a:picLocks noChangeAspect="1" noChangeArrowheads="1"/>
        </xdr:cNvPicPr>
      </xdr:nvPicPr>
      <xdr:blipFill>
        <a:blip xmlns:r="http://schemas.openxmlformats.org/officeDocument/2006/relationships" r:embed="rId17" cstate="print"/>
        <a:srcRect/>
        <a:stretch>
          <a:fillRect/>
        </a:stretch>
      </xdr:blipFill>
      <xdr:spPr bwMode="auto">
        <a:xfrm>
          <a:off x="971550" y="61779150"/>
          <a:ext cx="6019800" cy="1714500"/>
        </a:xfrm>
        <a:prstGeom prst="rect">
          <a:avLst/>
        </a:prstGeom>
        <a:noFill/>
        <a:ln w="1">
          <a:noFill/>
          <a:miter lim="800000"/>
          <a:headEnd/>
          <a:tailEnd/>
        </a:ln>
        <a:effectLst/>
      </xdr:spPr>
    </xdr:pic>
    <xdr:clientData/>
  </xdr:twoCellAnchor>
  <xdr:twoCellAnchor>
    <xdr:from>
      <xdr:col>28</xdr:col>
      <xdr:colOff>85725</xdr:colOff>
      <xdr:row>386</xdr:row>
      <xdr:rowOff>114300</xdr:rowOff>
    </xdr:from>
    <xdr:to>
      <xdr:col>41</xdr:col>
      <xdr:colOff>19050</xdr:colOff>
      <xdr:row>389</xdr:row>
      <xdr:rowOff>9525</xdr:rowOff>
    </xdr:to>
    <xdr:sp macro="" textlink="">
      <xdr:nvSpPr>
        <xdr:cNvPr id="26672" name="AutoShape 48">
          <a:extLst>
            <a:ext uri="{FF2B5EF4-FFF2-40B4-BE49-F238E27FC236}">
              <a16:creationId xmlns:a16="http://schemas.microsoft.com/office/drawing/2014/main" id="{00000000-0008-0000-0200-000030680000}"/>
            </a:ext>
          </a:extLst>
        </xdr:cNvPr>
        <xdr:cNvSpPr>
          <a:spLocks noChangeArrowheads="1"/>
        </xdr:cNvSpPr>
      </xdr:nvSpPr>
      <xdr:spPr bwMode="auto">
        <a:xfrm>
          <a:off x="2705100" y="61369575"/>
          <a:ext cx="1171575" cy="381000"/>
        </a:xfrm>
        <a:prstGeom prst="wedgeRoundRectCallout">
          <a:avLst>
            <a:gd name="adj1" fmla="val -95528"/>
            <a:gd name="adj2" fmla="val 9000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1: Fill in this week actions</a:t>
          </a:r>
        </a:p>
      </xdr:txBody>
    </xdr:sp>
    <xdr:clientData/>
  </xdr:twoCellAnchor>
  <xdr:twoCellAnchor>
    <xdr:from>
      <xdr:col>34</xdr:col>
      <xdr:colOff>38100</xdr:colOff>
      <xdr:row>390</xdr:row>
      <xdr:rowOff>57150</xdr:rowOff>
    </xdr:from>
    <xdr:to>
      <xdr:col>46</xdr:col>
      <xdr:colOff>66675</xdr:colOff>
      <xdr:row>393</xdr:row>
      <xdr:rowOff>66675</xdr:rowOff>
    </xdr:to>
    <xdr:sp macro="" textlink="">
      <xdr:nvSpPr>
        <xdr:cNvPr id="26673" name="AutoShape 49">
          <a:extLst>
            <a:ext uri="{FF2B5EF4-FFF2-40B4-BE49-F238E27FC236}">
              <a16:creationId xmlns:a16="http://schemas.microsoft.com/office/drawing/2014/main" id="{00000000-0008-0000-0200-000031680000}"/>
            </a:ext>
          </a:extLst>
        </xdr:cNvPr>
        <xdr:cNvSpPr>
          <a:spLocks noChangeArrowheads="1"/>
        </xdr:cNvSpPr>
      </xdr:nvSpPr>
      <xdr:spPr bwMode="auto">
        <a:xfrm>
          <a:off x="3228975" y="61960125"/>
          <a:ext cx="1171575" cy="495300"/>
        </a:xfrm>
        <a:prstGeom prst="wedgeRoundRectCallout">
          <a:avLst>
            <a:gd name="adj1" fmla="val -134551"/>
            <a:gd name="adj2" fmla="val 32694"/>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 Fill in next week planned-to-do actions</a:t>
          </a:r>
        </a:p>
      </xdr:txBody>
    </xdr:sp>
    <xdr:clientData/>
  </xdr:twoCellAnchor>
  <xdr:twoCellAnchor>
    <xdr:from>
      <xdr:col>35</xdr:col>
      <xdr:colOff>47625</xdr:colOff>
      <xdr:row>395</xdr:row>
      <xdr:rowOff>0</xdr:rowOff>
    </xdr:from>
    <xdr:to>
      <xdr:col>55</xdr:col>
      <xdr:colOff>76200</xdr:colOff>
      <xdr:row>399</xdr:row>
      <xdr:rowOff>76200</xdr:rowOff>
    </xdr:to>
    <xdr:sp macro="" textlink="">
      <xdr:nvSpPr>
        <xdr:cNvPr id="26674" name="AutoShape 50">
          <a:extLst>
            <a:ext uri="{FF2B5EF4-FFF2-40B4-BE49-F238E27FC236}">
              <a16:creationId xmlns:a16="http://schemas.microsoft.com/office/drawing/2014/main" id="{00000000-0008-0000-0200-000032680000}"/>
            </a:ext>
          </a:extLst>
        </xdr:cNvPr>
        <xdr:cNvSpPr>
          <a:spLocks noChangeArrowheads="1"/>
        </xdr:cNvSpPr>
      </xdr:nvSpPr>
      <xdr:spPr bwMode="auto">
        <a:xfrm>
          <a:off x="3333750" y="62712600"/>
          <a:ext cx="1933575" cy="723900"/>
        </a:xfrm>
        <a:prstGeom prst="wedgeRoundRectCallout">
          <a:avLst>
            <a:gd name="adj1" fmla="val -84481"/>
            <a:gd name="adj2" fmla="val -31579"/>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3: Fill in issue and its countermeasure</a:t>
          </a:r>
        </a:p>
        <a:p>
          <a:pPr algn="l" rtl="0">
            <a:defRPr sz="1000"/>
          </a:pPr>
          <a:r>
            <a:rPr lang="en-US" sz="800" b="0" i="0" u="none" strike="noStrike" baseline="0">
              <a:solidFill>
                <a:srgbClr val="000000"/>
              </a:solidFill>
              <a:latin typeface="Arial"/>
              <a:cs typeface="Arial"/>
            </a:rPr>
            <a:t>(Only important issues that need management concerns</a:t>
          </a:r>
        </a:p>
      </xdr:txBody>
    </xdr:sp>
    <xdr:clientData/>
  </xdr:twoCellAnchor>
  <xdr:twoCellAnchor>
    <xdr:from>
      <xdr:col>13</xdr:col>
      <xdr:colOff>76200</xdr:colOff>
      <xdr:row>291</xdr:row>
      <xdr:rowOff>142875</xdr:rowOff>
    </xdr:from>
    <xdr:to>
      <xdr:col>30</xdr:col>
      <xdr:colOff>9525</xdr:colOff>
      <xdr:row>294</xdr:row>
      <xdr:rowOff>85725</xdr:rowOff>
    </xdr:to>
    <xdr:sp macro="" textlink="">
      <xdr:nvSpPr>
        <xdr:cNvPr id="26735" name="AutoShape 111">
          <a:extLst>
            <a:ext uri="{FF2B5EF4-FFF2-40B4-BE49-F238E27FC236}">
              <a16:creationId xmlns:a16="http://schemas.microsoft.com/office/drawing/2014/main" id="{00000000-0008-0000-0200-00006F680000}"/>
            </a:ext>
          </a:extLst>
        </xdr:cNvPr>
        <xdr:cNvSpPr>
          <a:spLocks noChangeArrowheads="1"/>
        </xdr:cNvSpPr>
      </xdr:nvSpPr>
      <xdr:spPr bwMode="auto">
        <a:xfrm>
          <a:off x="1266825" y="46015275"/>
          <a:ext cx="1552575" cy="428625"/>
        </a:xfrm>
        <a:prstGeom prst="wedgeRoundRectCallout">
          <a:avLst>
            <a:gd name="adj1" fmla="val 67176"/>
            <a:gd name="adj2" fmla="val 150000"/>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21: Fill in total target test cases of IFT</a:t>
          </a:r>
        </a:p>
      </xdr:txBody>
    </xdr:sp>
    <xdr:clientData/>
  </xdr:twoCellAnchor>
  <xdr:twoCellAnchor>
    <xdr:from>
      <xdr:col>32</xdr:col>
      <xdr:colOff>28575</xdr:colOff>
      <xdr:row>291</xdr:row>
      <xdr:rowOff>142875</xdr:rowOff>
    </xdr:from>
    <xdr:to>
      <xdr:col>48</xdr:col>
      <xdr:colOff>57150</xdr:colOff>
      <xdr:row>294</xdr:row>
      <xdr:rowOff>85725</xdr:rowOff>
    </xdr:to>
    <xdr:sp macro="" textlink="">
      <xdr:nvSpPr>
        <xdr:cNvPr id="26736" name="AutoShape 112">
          <a:extLst>
            <a:ext uri="{FF2B5EF4-FFF2-40B4-BE49-F238E27FC236}">
              <a16:creationId xmlns:a16="http://schemas.microsoft.com/office/drawing/2014/main" id="{00000000-0008-0000-0200-000070680000}"/>
            </a:ext>
          </a:extLst>
        </xdr:cNvPr>
        <xdr:cNvSpPr>
          <a:spLocks noChangeArrowheads="1"/>
        </xdr:cNvSpPr>
      </xdr:nvSpPr>
      <xdr:spPr bwMode="auto">
        <a:xfrm>
          <a:off x="3028950" y="46015275"/>
          <a:ext cx="1552575" cy="428625"/>
        </a:xfrm>
        <a:prstGeom prst="wedgeRoundRectCallout">
          <a:avLst>
            <a:gd name="adj1" fmla="val 38958"/>
            <a:gd name="adj2" fmla="val 141111"/>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22: Fill in created test cases of IFT</a:t>
          </a:r>
        </a:p>
      </xdr:txBody>
    </xdr:sp>
    <xdr:clientData/>
  </xdr:twoCellAnchor>
  <xdr:twoCellAnchor>
    <xdr:from>
      <xdr:col>17</xdr:col>
      <xdr:colOff>0</xdr:colOff>
      <xdr:row>299</xdr:row>
      <xdr:rowOff>114300</xdr:rowOff>
    </xdr:from>
    <xdr:to>
      <xdr:col>33</xdr:col>
      <xdr:colOff>28575</xdr:colOff>
      <xdr:row>302</xdr:row>
      <xdr:rowOff>57150</xdr:rowOff>
    </xdr:to>
    <xdr:sp macro="" textlink="">
      <xdr:nvSpPr>
        <xdr:cNvPr id="26737" name="AutoShape 113">
          <a:extLst>
            <a:ext uri="{FF2B5EF4-FFF2-40B4-BE49-F238E27FC236}">
              <a16:creationId xmlns:a16="http://schemas.microsoft.com/office/drawing/2014/main" id="{00000000-0008-0000-0200-000071680000}"/>
            </a:ext>
          </a:extLst>
        </xdr:cNvPr>
        <xdr:cNvSpPr>
          <a:spLocks noChangeArrowheads="1"/>
        </xdr:cNvSpPr>
      </xdr:nvSpPr>
      <xdr:spPr bwMode="auto">
        <a:xfrm>
          <a:off x="1571625" y="47282100"/>
          <a:ext cx="1552575" cy="428625"/>
        </a:xfrm>
        <a:prstGeom prst="wedgeRoundRectCallout">
          <a:avLst>
            <a:gd name="adj1" fmla="val 53069"/>
            <a:gd name="adj2" fmla="val -103333"/>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23: Fill in total target test scenarios of BCT</a:t>
          </a:r>
        </a:p>
      </xdr:txBody>
    </xdr:sp>
    <xdr:clientData/>
  </xdr:twoCellAnchor>
  <xdr:twoCellAnchor>
    <xdr:from>
      <xdr:col>65</xdr:col>
      <xdr:colOff>9525</xdr:colOff>
      <xdr:row>296</xdr:row>
      <xdr:rowOff>38100</xdr:rowOff>
    </xdr:from>
    <xdr:to>
      <xdr:col>79</xdr:col>
      <xdr:colOff>47625</xdr:colOff>
      <xdr:row>300</xdr:row>
      <xdr:rowOff>66675</xdr:rowOff>
    </xdr:to>
    <xdr:sp macro="" textlink="">
      <xdr:nvSpPr>
        <xdr:cNvPr id="26738" name="AutoShape 114">
          <a:extLst>
            <a:ext uri="{FF2B5EF4-FFF2-40B4-BE49-F238E27FC236}">
              <a16:creationId xmlns:a16="http://schemas.microsoft.com/office/drawing/2014/main" id="{00000000-0008-0000-0200-000072680000}"/>
            </a:ext>
          </a:extLst>
        </xdr:cNvPr>
        <xdr:cNvSpPr>
          <a:spLocks noChangeArrowheads="1"/>
        </xdr:cNvSpPr>
      </xdr:nvSpPr>
      <xdr:spPr bwMode="auto">
        <a:xfrm>
          <a:off x="6153150" y="46720125"/>
          <a:ext cx="1371600" cy="676275"/>
        </a:xfrm>
        <a:prstGeom prst="wedgeRoundRectCallout">
          <a:avLst>
            <a:gd name="adj1" fmla="val -87500"/>
            <a:gd name="adj2" fmla="val -47185"/>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Note-6: Automatically calculated % of Created test items for IFT and BCT</a:t>
          </a:r>
        </a:p>
      </xdr:txBody>
    </xdr:sp>
    <xdr:clientData/>
  </xdr:twoCellAnchor>
  <xdr:twoCellAnchor>
    <xdr:from>
      <xdr:col>36</xdr:col>
      <xdr:colOff>76200</xdr:colOff>
      <xdr:row>299</xdr:row>
      <xdr:rowOff>104775</xdr:rowOff>
    </xdr:from>
    <xdr:to>
      <xdr:col>53</xdr:col>
      <xdr:colOff>9525</xdr:colOff>
      <xdr:row>302</xdr:row>
      <xdr:rowOff>47625</xdr:rowOff>
    </xdr:to>
    <xdr:sp macro="" textlink="">
      <xdr:nvSpPr>
        <xdr:cNvPr id="26739" name="AutoShape 115">
          <a:extLst>
            <a:ext uri="{FF2B5EF4-FFF2-40B4-BE49-F238E27FC236}">
              <a16:creationId xmlns:a16="http://schemas.microsoft.com/office/drawing/2014/main" id="{00000000-0008-0000-0200-000073680000}"/>
            </a:ext>
          </a:extLst>
        </xdr:cNvPr>
        <xdr:cNvSpPr>
          <a:spLocks noChangeArrowheads="1"/>
        </xdr:cNvSpPr>
      </xdr:nvSpPr>
      <xdr:spPr bwMode="auto">
        <a:xfrm>
          <a:off x="3457575" y="47272575"/>
          <a:ext cx="1552575" cy="428625"/>
        </a:xfrm>
        <a:prstGeom prst="wedgeRoundRectCallout">
          <a:avLst>
            <a:gd name="adj1" fmla="val 10125"/>
            <a:gd name="adj2" fmla="val -96667"/>
            <a:gd name="adj3" fmla="val 16667"/>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Step 24: Fill in created test scenarios of BCT</a:t>
          </a:r>
        </a:p>
      </xdr:txBody>
    </xdr:sp>
    <xdr:clientData/>
  </xdr:twoCellAnchor>
  <xdr:twoCellAnchor>
    <xdr:from>
      <xdr:col>29</xdr:col>
      <xdr:colOff>38100</xdr:colOff>
      <xdr:row>286</xdr:row>
      <xdr:rowOff>76200</xdr:rowOff>
    </xdr:from>
    <xdr:to>
      <xdr:col>47</xdr:col>
      <xdr:colOff>0</xdr:colOff>
      <xdr:row>290</xdr:row>
      <xdr:rowOff>95250</xdr:rowOff>
    </xdr:to>
    <xdr:sp macro="" textlink="">
      <xdr:nvSpPr>
        <xdr:cNvPr id="26747" name="AutoShape 123">
          <a:extLst>
            <a:ext uri="{FF2B5EF4-FFF2-40B4-BE49-F238E27FC236}">
              <a16:creationId xmlns:a16="http://schemas.microsoft.com/office/drawing/2014/main" id="{00000000-0008-0000-0200-00007B680000}"/>
            </a:ext>
          </a:extLst>
        </xdr:cNvPr>
        <xdr:cNvSpPr>
          <a:spLocks noChangeArrowheads="1"/>
        </xdr:cNvSpPr>
      </xdr:nvSpPr>
      <xdr:spPr bwMode="auto">
        <a:xfrm>
          <a:off x="2752725" y="45138975"/>
          <a:ext cx="1676400" cy="666750"/>
        </a:xfrm>
        <a:prstGeom prst="wedgeRoundRectCallout">
          <a:avLst>
            <a:gd name="adj1" fmla="val 44319"/>
            <a:gd name="adj2" fmla="val -74287"/>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Note-7: Automatically calculated = CR Route A's Accum CRs (This wk) - CR Route A's Accum CRs (Last wk)</a:t>
          </a:r>
        </a:p>
      </xdr:txBody>
    </xdr:sp>
    <xdr:clientData/>
  </xdr:twoCellAnchor>
  <xdr:twoCellAnchor>
    <xdr:from>
      <xdr:col>68</xdr:col>
      <xdr:colOff>85725</xdr:colOff>
      <xdr:row>286</xdr:row>
      <xdr:rowOff>76200</xdr:rowOff>
    </xdr:from>
    <xdr:to>
      <xdr:col>86</xdr:col>
      <xdr:colOff>38100</xdr:colOff>
      <xdr:row>290</xdr:row>
      <xdr:rowOff>66675</xdr:rowOff>
    </xdr:to>
    <xdr:sp macro="" textlink="">
      <xdr:nvSpPr>
        <xdr:cNvPr id="26748" name="AutoShape 124">
          <a:extLst>
            <a:ext uri="{FF2B5EF4-FFF2-40B4-BE49-F238E27FC236}">
              <a16:creationId xmlns:a16="http://schemas.microsoft.com/office/drawing/2014/main" id="{00000000-0008-0000-0200-00007C680000}"/>
            </a:ext>
          </a:extLst>
        </xdr:cNvPr>
        <xdr:cNvSpPr>
          <a:spLocks noChangeArrowheads="1"/>
        </xdr:cNvSpPr>
      </xdr:nvSpPr>
      <xdr:spPr bwMode="auto">
        <a:xfrm>
          <a:off x="6515100" y="45138975"/>
          <a:ext cx="1666875" cy="638175"/>
        </a:xfrm>
        <a:prstGeom prst="wedgeRoundRectCallout">
          <a:avLst>
            <a:gd name="adj1" fmla="val -39144"/>
            <a:gd name="adj2" fmla="val -76866"/>
            <a:gd name="adj3" fmla="val 16667"/>
          </a:avLst>
        </a:prstGeom>
        <a:solidFill>
          <a:srgbClr val="FFFF99"/>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Note-8: Automatically calculated = CR Route B's Accum CRs (This wk) - CR Route B's Accum CRs (Last wk)</a:t>
          </a:r>
        </a:p>
      </xdr:txBody>
    </xdr:sp>
    <xdr:clientData/>
  </xdr:twoCellAnchor>
  <xdr:twoCellAnchor>
    <xdr:from>
      <xdr:col>72</xdr:col>
      <xdr:colOff>9525</xdr:colOff>
      <xdr:row>119</xdr:row>
      <xdr:rowOff>85725</xdr:rowOff>
    </xdr:from>
    <xdr:to>
      <xdr:col>74</xdr:col>
      <xdr:colOff>19050</xdr:colOff>
      <xdr:row>120</xdr:row>
      <xdr:rowOff>85725</xdr:rowOff>
    </xdr:to>
    <xdr:sp macro="" textlink="">
      <xdr:nvSpPr>
        <xdr:cNvPr id="26754" name="AutoShape 130">
          <a:extLst>
            <a:ext uri="{FF2B5EF4-FFF2-40B4-BE49-F238E27FC236}">
              <a16:creationId xmlns:a16="http://schemas.microsoft.com/office/drawing/2014/main" id="{00000000-0008-0000-0200-000082680000}"/>
            </a:ext>
          </a:extLst>
        </xdr:cNvPr>
        <xdr:cNvSpPr>
          <a:spLocks noChangeArrowheads="1"/>
        </xdr:cNvSpPr>
      </xdr:nvSpPr>
      <xdr:spPr bwMode="auto">
        <a:xfrm>
          <a:off x="6819900" y="18107025"/>
          <a:ext cx="200025" cy="161925"/>
        </a:xfrm>
        <a:prstGeom prst="roundRect">
          <a:avLst>
            <a:gd name="adj" fmla="val 16667"/>
          </a:avLst>
        </a:prstGeom>
        <a:noFill/>
        <a:ln w="28575">
          <a:solidFill>
            <a:srgbClr val="800080"/>
          </a:solidFill>
          <a:round/>
          <a:headEnd/>
          <a:tailEnd/>
        </a:ln>
      </xdr:spPr>
    </xdr:sp>
    <xdr:clientData/>
  </xdr:twoCellAnchor>
  <xdr:twoCellAnchor>
    <xdr:from>
      <xdr:col>72</xdr:col>
      <xdr:colOff>9525</xdr:colOff>
      <xdr:row>123</xdr:row>
      <xdr:rowOff>142875</xdr:rowOff>
    </xdr:from>
    <xdr:to>
      <xdr:col>74</xdr:col>
      <xdr:colOff>19050</xdr:colOff>
      <xdr:row>124</xdr:row>
      <xdr:rowOff>142875</xdr:rowOff>
    </xdr:to>
    <xdr:sp macro="" textlink="">
      <xdr:nvSpPr>
        <xdr:cNvPr id="26755" name="AutoShape 131">
          <a:extLst>
            <a:ext uri="{FF2B5EF4-FFF2-40B4-BE49-F238E27FC236}">
              <a16:creationId xmlns:a16="http://schemas.microsoft.com/office/drawing/2014/main" id="{00000000-0008-0000-0200-000083680000}"/>
            </a:ext>
          </a:extLst>
        </xdr:cNvPr>
        <xdr:cNvSpPr>
          <a:spLocks noChangeArrowheads="1"/>
        </xdr:cNvSpPr>
      </xdr:nvSpPr>
      <xdr:spPr bwMode="auto">
        <a:xfrm>
          <a:off x="6819900" y="18811875"/>
          <a:ext cx="200025" cy="161925"/>
        </a:xfrm>
        <a:prstGeom prst="roundRect">
          <a:avLst>
            <a:gd name="adj" fmla="val 16667"/>
          </a:avLst>
        </a:prstGeom>
        <a:noFill/>
        <a:ln w="28575">
          <a:solidFill>
            <a:srgbClr val="800080"/>
          </a:solidFill>
          <a:round/>
          <a:headEnd/>
          <a:tailEnd/>
        </a:ln>
      </xdr:spPr>
    </xdr:sp>
    <xdr:clientData/>
  </xdr:twoCellAnchor>
  <xdr:twoCellAnchor>
    <xdr:from>
      <xdr:col>72</xdr:col>
      <xdr:colOff>0</xdr:colOff>
      <xdr:row>120</xdr:row>
      <xdr:rowOff>123825</xdr:rowOff>
    </xdr:from>
    <xdr:to>
      <xdr:col>74</xdr:col>
      <xdr:colOff>76200</xdr:colOff>
      <xdr:row>123</xdr:row>
      <xdr:rowOff>104775</xdr:rowOff>
    </xdr:to>
    <xdr:sp macro="" textlink="">
      <xdr:nvSpPr>
        <xdr:cNvPr id="26756" name="AutoShape 132">
          <a:extLst>
            <a:ext uri="{FF2B5EF4-FFF2-40B4-BE49-F238E27FC236}">
              <a16:creationId xmlns:a16="http://schemas.microsoft.com/office/drawing/2014/main" id="{00000000-0008-0000-0200-000084680000}"/>
            </a:ext>
          </a:extLst>
        </xdr:cNvPr>
        <xdr:cNvSpPr>
          <a:spLocks noChangeArrowheads="1"/>
        </xdr:cNvSpPr>
      </xdr:nvSpPr>
      <xdr:spPr bwMode="auto">
        <a:xfrm rot="5400000" flipV="1">
          <a:off x="6710362" y="18407063"/>
          <a:ext cx="466725" cy="266700"/>
        </a:xfrm>
        <a:custGeom>
          <a:avLst/>
          <a:gdLst>
            <a:gd name="G0" fmla="+- 16200 0 0"/>
            <a:gd name="G1" fmla="+- 5400 0 0"/>
            <a:gd name="G2" fmla="+- 21600 0 5400"/>
            <a:gd name="G3" fmla="+- 10800 0 5400"/>
            <a:gd name="G4" fmla="+- 21600 0 16200"/>
            <a:gd name="G5" fmla="*/ G4 G3 10800"/>
            <a:gd name="G6" fmla="+- 21600 0 G5"/>
            <a:gd name="T0" fmla="*/ 16200 w 21600"/>
            <a:gd name="T1" fmla="*/ 0 h 21600"/>
            <a:gd name="T2" fmla="*/ 0 w 21600"/>
            <a:gd name="T3" fmla="*/ 10800 h 21600"/>
            <a:gd name="T4" fmla="*/ 16200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solidFill>
          <a:srgbClr val="FF9900"/>
        </a:solidFill>
        <a:ln w="9525">
          <a:solidFill>
            <a:srgbClr val="000000"/>
          </a:solidFill>
          <a:miter lim="800000"/>
          <a:headEnd/>
          <a:tailEnd/>
        </a:ln>
      </xdr:spPr>
    </xdr:sp>
    <xdr:clientData/>
  </xdr:twoCellAnchor>
  <xdr:twoCellAnchor>
    <xdr:from>
      <xdr:col>27</xdr:col>
      <xdr:colOff>19050</xdr:colOff>
      <xdr:row>119</xdr:row>
      <xdr:rowOff>66675</xdr:rowOff>
    </xdr:from>
    <xdr:to>
      <xdr:col>34</xdr:col>
      <xdr:colOff>66675</xdr:colOff>
      <xdr:row>120</xdr:row>
      <xdr:rowOff>85725</xdr:rowOff>
    </xdr:to>
    <xdr:sp macro="" textlink="">
      <xdr:nvSpPr>
        <xdr:cNvPr id="26757" name="AutoShape 133">
          <a:extLst>
            <a:ext uri="{FF2B5EF4-FFF2-40B4-BE49-F238E27FC236}">
              <a16:creationId xmlns:a16="http://schemas.microsoft.com/office/drawing/2014/main" id="{00000000-0008-0000-0200-000085680000}"/>
            </a:ext>
          </a:extLst>
        </xdr:cNvPr>
        <xdr:cNvSpPr>
          <a:spLocks noChangeArrowheads="1"/>
        </xdr:cNvSpPr>
      </xdr:nvSpPr>
      <xdr:spPr bwMode="auto">
        <a:xfrm>
          <a:off x="2543175" y="18087975"/>
          <a:ext cx="714375" cy="180975"/>
        </a:xfrm>
        <a:prstGeom prst="roundRect">
          <a:avLst>
            <a:gd name="adj" fmla="val 16667"/>
          </a:avLst>
        </a:prstGeom>
        <a:noFill/>
        <a:ln w="28575">
          <a:solidFill>
            <a:srgbClr val="800080"/>
          </a:solidFill>
          <a:round/>
          <a:headEnd/>
          <a:tailEnd/>
        </a:ln>
      </xdr:spPr>
    </xdr:sp>
    <xdr:clientData/>
  </xdr:twoCellAnchor>
  <xdr:twoCellAnchor>
    <xdr:from>
      <xdr:col>52</xdr:col>
      <xdr:colOff>0</xdr:colOff>
      <xdr:row>139</xdr:row>
      <xdr:rowOff>85725</xdr:rowOff>
    </xdr:from>
    <xdr:to>
      <xdr:col>84</xdr:col>
      <xdr:colOff>19050</xdr:colOff>
      <xdr:row>142</xdr:row>
      <xdr:rowOff>57150</xdr:rowOff>
    </xdr:to>
    <xdr:grpSp>
      <xdr:nvGrpSpPr>
        <xdr:cNvPr id="26762" name="Group 138">
          <a:extLst>
            <a:ext uri="{FF2B5EF4-FFF2-40B4-BE49-F238E27FC236}">
              <a16:creationId xmlns:a16="http://schemas.microsoft.com/office/drawing/2014/main" id="{00000000-0008-0000-0200-00008A680000}"/>
            </a:ext>
          </a:extLst>
        </xdr:cNvPr>
        <xdr:cNvGrpSpPr>
          <a:grpSpLocks/>
        </xdr:cNvGrpSpPr>
      </xdr:nvGrpSpPr>
      <xdr:grpSpPr bwMode="auto">
        <a:xfrm>
          <a:off x="5153025" y="21550313"/>
          <a:ext cx="3219450" cy="457200"/>
          <a:chOff x="339" y="2029"/>
          <a:chExt cx="322" cy="48"/>
        </a:xfrm>
      </xdr:grpSpPr>
      <xdr:pic>
        <xdr:nvPicPr>
          <xdr:cNvPr id="26763" name="Picture 139">
            <a:extLst>
              <a:ext uri="{FF2B5EF4-FFF2-40B4-BE49-F238E27FC236}">
                <a16:creationId xmlns:a16="http://schemas.microsoft.com/office/drawing/2014/main" id="{00000000-0008-0000-0200-00008B6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489" y="2029"/>
            <a:ext cx="172" cy="48"/>
          </a:xfrm>
          <a:prstGeom prst="rect">
            <a:avLst/>
          </a:prstGeom>
          <a:noFill/>
          <a:ln w="1">
            <a:noFill/>
            <a:miter lim="800000"/>
            <a:headEnd/>
            <a:tailEnd/>
          </a:ln>
          <a:effectLst/>
        </xdr:spPr>
      </xdr:pic>
      <xdr:pic>
        <xdr:nvPicPr>
          <xdr:cNvPr id="26764" name="Picture 140">
            <a:extLst>
              <a:ext uri="{FF2B5EF4-FFF2-40B4-BE49-F238E27FC236}">
                <a16:creationId xmlns:a16="http://schemas.microsoft.com/office/drawing/2014/main" id="{00000000-0008-0000-0200-00008C68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339" y="2032"/>
            <a:ext cx="150" cy="45"/>
          </a:xfrm>
          <a:prstGeom prst="rect">
            <a:avLst/>
          </a:prstGeom>
          <a:noFill/>
          <a:ln w="1">
            <a:noFill/>
            <a:miter lim="800000"/>
            <a:headEnd/>
            <a:tailEnd/>
          </a:ln>
          <a:effectLst/>
        </xdr:spPr>
      </xdr:pic>
    </xdr:grpSp>
    <xdr:clientData/>
  </xdr:twoCellAnchor>
  <xdr:twoCellAnchor editAs="oneCell">
    <xdr:from>
      <xdr:col>26</xdr:col>
      <xdr:colOff>85725</xdr:colOff>
      <xdr:row>136</xdr:row>
      <xdr:rowOff>0</xdr:rowOff>
    </xdr:from>
    <xdr:to>
      <xdr:col>94</xdr:col>
      <xdr:colOff>76200</xdr:colOff>
      <xdr:row>138</xdr:row>
      <xdr:rowOff>76200</xdr:rowOff>
    </xdr:to>
    <xdr:pic>
      <xdr:nvPicPr>
        <xdr:cNvPr id="26765" name="Picture 141">
          <a:extLst>
            <a:ext uri="{FF2B5EF4-FFF2-40B4-BE49-F238E27FC236}">
              <a16:creationId xmlns:a16="http://schemas.microsoft.com/office/drawing/2014/main" id="{00000000-0008-0000-0200-00008D68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2514600" y="20774025"/>
          <a:ext cx="6467475" cy="400050"/>
        </a:xfrm>
        <a:prstGeom prst="rect">
          <a:avLst/>
        </a:prstGeom>
        <a:noFill/>
        <a:ln w="1">
          <a:noFill/>
          <a:miter lim="800000"/>
          <a:headEnd/>
          <a:tailEnd/>
        </a:ln>
        <a:effectLst/>
      </xdr:spPr>
    </xdr:pic>
    <xdr:clientData/>
  </xdr:twoCellAnchor>
  <xdr:twoCellAnchor>
    <xdr:from>
      <xdr:col>72</xdr:col>
      <xdr:colOff>38100</xdr:colOff>
      <xdr:row>137</xdr:row>
      <xdr:rowOff>38100</xdr:rowOff>
    </xdr:from>
    <xdr:to>
      <xdr:col>74</xdr:col>
      <xdr:colOff>47625</xdr:colOff>
      <xdr:row>138</xdr:row>
      <xdr:rowOff>38100</xdr:rowOff>
    </xdr:to>
    <xdr:sp macro="" textlink="">
      <xdr:nvSpPr>
        <xdr:cNvPr id="26766" name="AutoShape 142">
          <a:extLst>
            <a:ext uri="{FF2B5EF4-FFF2-40B4-BE49-F238E27FC236}">
              <a16:creationId xmlns:a16="http://schemas.microsoft.com/office/drawing/2014/main" id="{00000000-0008-0000-0200-00008E680000}"/>
            </a:ext>
          </a:extLst>
        </xdr:cNvPr>
        <xdr:cNvSpPr>
          <a:spLocks noChangeArrowheads="1"/>
        </xdr:cNvSpPr>
      </xdr:nvSpPr>
      <xdr:spPr bwMode="auto">
        <a:xfrm>
          <a:off x="6848475" y="20974050"/>
          <a:ext cx="200025" cy="161925"/>
        </a:xfrm>
        <a:prstGeom prst="roundRect">
          <a:avLst>
            <a:gd name="adj" fmla="val 16667"/>
          </a:avLst>
        </a:prstGeom>
        <a:noFill/>
        <a:ln w="28575">
          <a:solidFill>
            <a:srgbClr val="800080"/>
          </a:solidFill>
          <a:round/>
          <a:headEnd/>
          <a:tailEnd/>
        </a:ln>
      </xdr:spPr>
    </xdr:sp>
    <xdr:clientData/>
  </xdr:twoCellAnchor>
  <xdr:twoCellAnchor>
    <xdr:from>
      <xdr:col>72</xdr:col>
      <xdr:colOff>57150</xdr:colOff>
      <xdr:row>141</xdr:row>
      <xdr:rowOff>47625</xdr:rowOff>
    </xdr:from>
    <xdr:to>
      <xdr:col>74</xdr:col>
      <xdr:colOff>66675</xdr:colOff>
      <xdr:row>142</xdr:row>
      <xdr:rowOff>47625</xdr:rowOff>
    </xdr:to>
    <xdr:sp macro="" textlink="">
      <xdr:nvSpPr>
        <xdr:cNvPr id="26767" name="AutoShape 143">
          <a:extLst>
            <a:ext uri="{FF2B5EF4-FFF2-40B4-BE49-F238E27FC236}">
              <a16:creationId xmlns:a16="http://schemas.microsoft.com/office/drawing/2014/main" id="{00000000-0008-0000-0200-00008F680000}"/>
            </a:ext>
          </a:extLst>
        </xdr:cNvPr>
        <xdr:cNvSpPr>
          <a:spLocks noChangeArrowheads="1"/>
        </xdr:cNvSpPr>
      </xdr:nvSpPr>
      <xdr:spPr bwMode="auto">
        <a:xfrm>
          <a:off x="6867525" y="21631275"/>
          <a:ext cx="200025" cy="161925"/>
        </a:xfrm>
        <a:prstGeom prst="roundRect">
          <a:avLst>
            <a:gd name="adj" fmla="val 16667"/>
          </a:avLst>
        </a:prstGeom>
        <a:noFill/>
        <a:ln w="28575">
          <a:solidFill>
            <a:srgbClr val="800080"/>
          </a:solidFill>
          <a:round/>
          <a:headEnd/>
          <a:tailEnd/>
        </a:ln>
      </xdr:spPr>
    </xdr:sp>
    <xdr:clientData/>
  </xdr:twoCellAnchor>
  <xdr:twoCellAnchor>
    <xdr:from>
      <xdr:col>72</xdr:col>
      <xdr:colOff>0</xdr:colOff>
      <xdr:row>138</xdr:row>
      <xdr:rowOff>76200</xdr:rowOff>
    </xdr:from>
    <xdr:to>
      <xdr:col>74</xdr:col>
      <xdr:colOff>76200</xdr:colOff>
      <xdr:row>141</xdr:row>
      <xdr:rowOff>9525</xdr:rowOff>
    </xdr:to>
    <xdr:sp macro="" textlink="">
      <xdr:nvSpPr>
        <xdr:cNvPr id="26768" name="AutoShape 144">
          <a:extLst>
            <a:ext uri="{FF2B5EF4-FFF2-40B4-BE49-F238E27FC236}">
              <a16:creationId xmlns:a16="http://schemas.microsoft.com/office/drawing/2014/main" id="{00000000-0008-0000-0200-000090680000}"/>
            </a:ext>
          </a:extLst>
        </xdr:cNvPr>
        <xdr:cNvSpPr>
          <a:spLocks noChangeArrowheads="1"/>
        </xdr:cNvSpPr>
      </xdr:nvSpPr>
      <xdr:spPr bwMode="auto">
        <a:xfrm rot="5400000" flipV="1">
          <a:off x="6734175" y="21250275"/>
          <a:ext cx="419100" cy="266700"/>
        </a:xfrm>
        <a:custGeom>
          <a:avLst/>
          <a:gdLst>
            <a:gd name="G0" fmla="+- 16200 0 0"/>
            <a:gd name="G1" fmla="+- 5400 0 0"/>
            <a:gd name="G2" fmla="+- 21600 0 5400"/>
            <a:gd name="G3" fmla="+- 10800 0 5400"/>
            <a:gd name="G4" fmla="+- 21600 0 16200"/>
            <a:gd name="G5" fmla="*/ G4 G3 10800"/>
            <a:gd name="G6" fmla="+- 21600 0 G5"/>
            <a:gd name="T0" fmla="*/ 16200 w 21600"/>
            <a:gd name="T1" fmla="*/ 0 h 21600"/>
            <a:gd name="T2" fmla="*/ 0 w 21600"/>
            <a:gd name="T3" fmla="*/ 10800 h 21600"/>
            <a:gd name="T4" fmla="*/ 16200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solidFill>
          <a:srgbClr val="FF9900"/>
        </a:solidFill>
        <a:ln w="9525">
          <a:solidFill>
            <a:srgbClr val="000000"/>
          </a:solidFill>
          <a:miter lim="800000"/>
          <a:headEnd/>
          <a:tailEnd/>
        </a:ln>
      </xdr:spPr>
    </xdr:sp>
    <xdr:clientData/>
  </xdr:twoCellAnchor>
  <xdr:twoCellAnchor>
    <xdr:from>
      <xdr:col>26</xdr:col>
      <xdr:colOff>76200</xdr:colOff>
      <xdr:row>137</xdr:row>
      <xdr:rowOff>9525</xdr:rowOff>
    </xdr:from>
    <xdr:to>
      <xdr:col>34</xdr:col>
      <xdr:colOff>28575</xdr:colOff>
      <xdr:row>138</xdr:row>
      <xdr:rowOff>28575</xdr:rowOff>
    </xdr:to>
    <xdr:sp macro="" textlink="">
      <xdr:nvSpPr>
        <xdr:cNvPr id="26769" name="AutoShape 145">
          <a:extLst>
            <a:ext uri="{FF2B5EF4-FFF2-40B4-BE49-F238E27FC236}">
              <a16:creationId xmlns:a16="http://schemas.microsoft.com/office/drawing/2014/main" id="{00000000-0008-0000-0200-000091680000}"/>
            </a:ext>
          </a:extLst>
        </xdr:cNvPr>
        <xdr:cNvSpPr>
          <a:spLocks noChangeArrowheads="1"/>
        </xdr:cNvSpPr>
      </xdr:nvSpPr>
      <xdr:spPr bwMode="auto">
        <a:xfrm>
          <a:off x="2505075" y="20945475"/>
          <a:ext cx="714375" cy="180975"/>
        </a:xfrm>
        <a:prstGeom prst="roundRect">
          <a:avLst>
            <a:gd name="adj" fmla="val 16667"/>
          </a:avLst>
        </a:prstGeom>
        <a:noFill/>
        <a:ln w="28575">
          <a:solidFill>
            <a:srgbClr val="800080"/>
          </a:solidFill>
          <a:round/>
          <a:headEnd/>
          <a:tailEnd/>
        </a:ln>
      </xdr:spPr>
    </xdr:sp>
    <xdr:clientData/>
  </xdr:twoCellAnchor>
  <xdr:twoCellAnchor>
    <xdr:from>
      <xdr:col>51</xdr:col>
      <xdr:colOff>9525</xdr:colOff>
      <xdr:row>123</xdr:row>
      <xdr:rowOff>133350</xdr:rowOff>
    </xdr:from>
    <xdr:to>
      <xdr:col>59</xdr:col>
      <xdr:colOff>85725</xdr:colOff>
      <xdr:row>124</xdr:row>
      <xdr:rowOff>152400</xdr:rowOff>
    </xdr:to>
    <xdr:sp macro="" textlink="">
      <xdr:nvSpPr>
        <xdr:cNvPr id="26770" name="AutoShape 146">
          <a:extLst>
            <a:ext uri="{FF2B5EF4-FFF2-40B4-BE49-F238E27FC236}">
              <a16:creationId xmlns:a16="http://schemas.microsoft.com/office/drawing/2014/main" id="{00000000-0008-0000-0200-000092680000}"/>
            </a:ext>
          </a:extLst>
        </xdr:cNvPr>
        <xdr:cNvSpPr>
          <a:spLocks noChangeArrowheads="1"/>
        </xdr:cNvSpPr>
      </xdr:nvSpPr>
      <xdr:spPr bwMode="auto">
        <a:xfrm>
          <a:off x="4819650" y="18802350"/>
          <a:ext cx="838200" cy="180975"/>
        </a:xfrm>
        <a:prstGeom prst="roundRect">
          <a:avLst>
            <a:gd name="adj" fmla="val 16667"/>
          </a:avLst>
        </a:prstGeom>
        <a:noFill/>
        <a:ln w="28575">
          <a:solidFill>
            <a:srgbClr val="800080"/>
          </a:solidFill>
          <a:round/>
          <a:headEnd/>
          <a:tailEnd/>
        </a:ln>
      </xdr:spPr>
    </xdr:sp>
    <xdr:clientData/>
  </xdr:twoCellAnchor>
  <xdr:twoCellAnchor>
    <xdr:from>
      <xdr:col>51</xdr:col>
      <xdr:colOff>57150</xdr:colOff>
      <xdr:row>141</xdr:row>
      <xdr:rowOff>47625</xdr:rowOff>
    </xdr:from>
    <xdr:to>
      <xdr:col>61</xdr:col>
      <xdr:colOff>28575</xdr:colOff>
      <xdr:row>142</xdr:row>
      <xdr:rowOff>57150</xdr:rowOff>
    </xdr:to>
    <xdr:sp macro="" textlink="">
      <xdr:nvSpPr>
        <xdr:cNvPr id="26771" name="AutoShape 147">
          <a:extLst>
            <a:ext uri="{FF2B5EF4-FFF2-40B4-BE49-F238E27FC236}">
              <a16:creationId xmlns:a16="http://schemas.microsoft.com/office/drawing/2014/main" id="{00000000-0008-0000-0200-000093680000}"/>
            </a:ext>
          </a:extLst>
        </xdr:cNvPr>
        <xdr:cNvSpPr>
          <a:spLocks noChangeArrowheads="1"/>
        </xdr:cNvSpPr>
      </xdr:nvSpPr>
      <xdr:spPr bwMode="auto">
        <a:xfrm>
          <a:off x="4867275" y="21631275"/>
          <a:ext cx="923925" cy="171450"/>
        </a:xfrm>
        <a:prstGeom prst="roundRect">
          <a:avLst>
            <a:gd name="adj" fmla="val 16667"/>
          </a:avLst>
        </a:prstGeom>
        <a:noFill/>
        <a:ln w="28575">
          <a:solidFill>
            <a:srgbClr val="800080"/>
          </a:solidFill>
          <a:round/>
          <a:headEnd/>
          <a:tailEnd/>
        </a:ln>
      </xdr:spPr>
    </xdr:sp>
    <xdr:clientData/>
  </xdr:twoCellAnchor>
  <xdr:twoCellAnchor>
    <xdr:from>
      <xdr:col>77</xdr:col>
      <xdr:colOff>28575</xdr:colOff>
      <xdr:row>203</xdr:row>
      <xdr:rowOff>76200</xdr:rowOff>
    </xdr:from>
    <xdr:to>
      <xdr:col>79</xdr:col>
      <xdr:colOff>38100</xdr:colOff>
      <xdr:row>204</xdr:row>
      <xdr:rowOff>76200</xdr:rowOff>
    </xdr:to>
    <xdr:sp macro="" textlink="">
      <xdr:nvSpPr>
        <xdr:cNvPr id="26776" name="AutoShape 152">
          <a:extLst>
            <a:ext uri="{FF2B5EF4-FFF2-40B4-BE49-F238E27FC236}">
              <a16:creationId xmlns:a16="http://schemas.microsoft.com/office/drawing/2014/main" id="{00000000-0008-0000-0200-000098680000}"/>
            </a:ext>
          </a:extLst>
        </xdr:cNvPr>
        <xdr:cNvSpPr>
          <a:spLocks noChangeArrowheads="1"/>
        </xdr:cNvSpPr>
      </xdr:nvSpPr>
      <xdr:spPr bwMode="auto">
        <a:xfrm>
          <a:off x="7315200" y="31699200"/>
          <a:ext cx="200025" cy="161925"/>
        </a:xfrm>
        <a:prstGeom prst="roundRect">
          <a:avLst>
            <a:gd name="adj" fmla="val 16667"/>
          </a:avLst>
        </a:prstGeom>
        <a:noFill/>
        <a:ln w="28575">
          <a:solidFill>
            <a:srgbClr val="800080"/>
          </a:solidFill>
          <a:round/>
          <a:headEnd/>
          <a:tailEnd/>
        </a:ln>
      </xdr:spPr>
    </xdr:sp>
    <xdr:clientData/>
  </xdr:twoCellAnchor>
  <xdr:twoCellAnchor>
    <xdr:from>
      <xdr:col>77</xdr:col>
      <xdr:colOff>9525</xdr:colOff>
      <xdr:row>207</xdr:row>
      <xdr:rowOff>142875</xdr:rowOff>
    </xdr:from>
    <xdr:to>
      <xdr:col>79</xdr:col>
      <xdr:colOff>19050</xdr:colOff>
      <xdr:row>208</xdr:row>
      <xdr:rowOff>142875</xdr:rowOff>
    </xdr:to>
    <xdr:sp macro="" textlink="">
      <xdr:nvSpPr>
        <xdr:cNvPr id="26777" name="AutoShape 153">
          <a:extLst>
            <a:ext uri="{FF2B5EF4-FFF2-40B4-BE49-F238E27FC236}">
              <a16:creationId xmlns:a16="http://schemas.microsoft.com/office/drawing/2014/main" id="{00000000-0008-0000-0200-000099680000}"/>
            </a:ext>
          </a:extLst>
        </xdr:cNvPr>
        <xdr:cNvSpPr>
          <a:spLocks noChangeArrowheads="1"/>
        </xdr:cNvSpPr>
      </xdr:nvSpPr>
      <xdr:spPr bwMode="auto">
        <a:xfrm>
          <a:off x="7296150" y="32413575"/>
          <a:ext cx="200025" cy="161925"/>
        </a:xfrm>
        <a:prstGeom prst="roundRect">
          <a:avLst>
            <a:gd name="adj" fmla="val 16667"/>
          </a:avLst>
        </a:prstGeom>
        <a:noFill/>
        <a:ln w="28575">
          <a:solidFill>
            <a:srgbClr val="800080"/>
          </a:solidFill>
          <a:round/>
          <a:headEnd/>
          <a:tailEnd/>
        </a:ln>
      </xdr:spPr>
    </xdr:sp>
    <xdr:clientData/>
  </xdr:twoCellAnchor>
  <xdr:twoCellAnchor>
    <xdr:from>
      <xdr:col>76</xdr:col>
      <xdr:colOff>85725</xdr:colOff>
      <xdr:row>204</xdr:row>
      <xdr:rowOff>114300</xdr:rowOff>
    </xdr:from>
    <xdr:to>
      <xdr:col>79</xdr:col>
      <xdr:colOff>66675</xdr:colOff>
      <xdr:row>207</xdr:row>
      <xdr:rowOff>95250</xdr:rowOff>
    </xdr:to>
    <xdr:sp macro="" textlink="">
      <xdr:nvSpPr>
        <xdr:cNvPr id="26778" name="AutoShape 154">
          <a:extLst>
            <a:ext uri="{FF2B5EF4-FFF2-40B4-BE49-F238E27FC236}">
              <a16:creationId xmlns:a16="http://schemas.microsoft.com/office/drawing/2014/main" id="{00000000-0008-0000-0200-00009A680000}"/>
            </a:ext>
          </a:extLst>
        </xdr:cNvPr>
        <xdr:cNvSpPr>
          <a:spLocks noChangeArrowheads="1"/>
        </xdr:cNvSpPr>
      </xdr:nvSpPr>
      <xdr:spPr bwMode="auto">
        <a:xfrm rot="5400000" flipV="1">
          <a:off x="7177087" y="31999238"/>
          <a:ext cx="466725" cy="266700"/>
        </a:xfrm>
        <a:custGeom>
          <a:avLst/>
          <a:gdLst>
            <a:gd name="G0" fmla="+- 16200 0 0"/>
            <a:gd name="G1" fmla="+- 5400 0 0"/>
            <a:gd name="G2" fmla="+- 21600 0 5400"/>
            <a:gd name="G3" fmla="+- 10800 0 5400"/>
            <a:gd name="G4" fmla="+- 21600 0 16200"/>
            <a:gd name="G5" fmla="*/ G4 G3 10800"/>
            <a:gd name="G6" fmla="+- 21600 0 G5"/>
            <a:gd name="T0" fmla="*/ 16200 w 21600"/>
            <a:gd name="T1" fmla="*/ 0 h 21600"/>
            <a:gd name="T2" fmla="*/ 0 w 21600"/>
            <a:gd name="T3" fmla="*/ 10800 h 21600"/>
            <a:gd name="T4" fmla="*/ 16200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solidFill>
          <a:srgbClr val="FF9900"/>
        </a:solidFill>
        <a:ln w="9525">
          <a:solidFill>
            <a:srgbClr val="000000"/>
          </a:solidFill>
          <a:miter lim="800000"/>
          <a:headEnd/>
          <a:tailEnd/>
        </a:ln>
      </xdr:spPr>
    </xdr:sp>
    <xdr:clientData/>
  </xdr:twoCellAnchor>
  <xdr:twoCellAnchor>
    <xdr:from>
      <xdr:col>27</xdr:col>
      <xdr:colOff>19050</xdr:colOff>
      <xdr:row>203</xdr:row>
      <xdr:rowOff>66675</xdr:rowOff>
    </xdr:from>
    <xdr:to>
      <xdr:col>39</xdr:col>
      <xdr:colOff>76200</xdr:colOff>
      <xdr:row>204</xdr:row>
      <xdr:rowOff>66675</xdr:rowOff>
    </xdr:to>
    <xdr:sp macro="" textlink="">
      <xdr:nvSpPr>
        <xdr:cNvPr id="26779" name="AutoShape 155">
          <a:extLst>
            <a:ext uri="{FF2B5EF4-FFF2-40B4-BE49-F238E27FC236}">
              <a16:creationId xmlns:a16="http://schemas.microsoft.com/office/drawing/2014/main" id="{00000000-0008-0000-0200-00009B680000}"/>
            </a:ext>
          </a:extLst>
        </xdr:cNvPr>
        <xdr:cNvSpPr>
          <a:spLocks noChangeArrowheads="1"/>
        </xdr:cNvSpPr>
      </xdr:nvSpPr>
      <xdr:spPr bwMode="auto">
        <a:xfrm>
          <a:off x="2543175" y="31689675"/>
          <a:ext cx="1200150" cy="161925"/>
        </a:xfrm>
        <a:prstGeom prst="roundRect">
          <a:avLst>
            <a:gd name="adj" fmla="val 16667"/>
          </a:avLst>
        </a:prstGeom>
        <a:noFill/>
        <a:ln w="28575">
          <a:solidFill>
            <a:srgbClr val="800080"/>
          </a:solidFill>
          <a:round/>
          <a:headEnd/>
          <a:tailEnd/>
        </a:ln>
      </xdr:spPr>
    </xdr:sp>
    <xdr:clientData/>
  </xdr:twoCellAnchor>
  <xdr:twoCellAnchor>
    <xdr:from>
      <xdr:col>57</xdr:col>
      <xdr:colOff>38100</xdr:colOff>
      <xdr:row>207</xdr:row>
      <xdr:rowOff>133350</xdr:rowOff>
    </xdr:from>
    <xdr:to>
      <xdr:col>68</xdr:col>
      <xdr:colOff>57150</xdr:colOff>
      <xdr:row>208</xdr:row>
      <xdr:rowOff>152400</xdr:rowOff>
    </xdr:to>
    <xdr:sp macro="" textlink="">
      <xdr:nvSpPr>
        <xdr:cNvPr id="26780" name="AutoShape 156">
          <a:extLst>
            <a:ext uri="{FF2B5EF4-FFF2-40B4-BE49-F238E27FC236}">
              <a16:creationId xmlns:a16="http://schemas.microsoft.com/office/drawing/2014/main" id="{00000000-0008-0000-0200-00009C680000}"/>
            </a:ext>
          </a:extLst>
        </xdr:cNvPr>
        <xdr:cNvSpPr>
          <a:spLocks noChangeArrowheads="1"/>
        </xdr:cNvSpPr>
      </xdr:nvSpPr>
      <xdr:spPr bwMode="auto">
        <a:xfrm>
          <a:off x="5419725" y="32404050"/>
          <a:ext cx="1066800" cy="180975"/>
        </a:xfrm>
        <a:prstGeom prst="roundRect">
          <a:avLst>
            <a:gd name="adj" fmla="val 16667"/>
          </a:avLst>
        </a:prstGeom>
        <a:noFill/>
        <a:ln w="28575">
          <a:solidFill>
            <a:srgbClr val="800080"/>
          </a:solidFill>
          <a:round/>
          <a:headEnd/>
          <a:tailEnd/>
        </a:ln>
      </xdr:spPr>
    </xdr:sp>
    <xdr:clientData/>
  </xdr:twoCellAnchor>
  <xdr:twoCellAnchor>
    <xdr:from>
      <xdr:col>57</xdr:col>
      <xdr:colOff>85725</xdr:colOff>
      <xdr:row>221</xdr:row>
      <xdr:rowOff>76200</xdr:rowOff>
    </xdr:from>
    <xdr:to>
      <xdr:col>85</xdr:col>
      <xdr:colOff>28575</xdr:colOff>
      <xdr:row>224</xdr:row>
      <xdr:rowOff>9525</xdr:rowOff>
    </xdr:to>
    <xdr:grpSp>
      <xdr:nvGrpSpPr>
        <xdr:cNvPr id="26786" name="Group 162">
          <a:extLst>
            <a:ext uri="{FF2B5EF4-FFF2-40B4-BE49-F238E27FC236}">
              <a16:creationId xmlns:a16="http://schemas.microsoft.com/office/drawing/2014/main" id="{00000000-0008-0000-0200-0000A2680000}"/>
            </a:ext>
          </a:extLst>
        </xdr:cNvPr>
        <xdr:cNvGrpSpPr>
          <a:grpSpLocks/>
        </xdr:cNvGrpSpPr>
      </xdr:nvGrpSpPr>
      <xdr:grpSpPr bwMode="auto">
        <a:xfrm>
          <a:off x="5738813" y="34818638"/>
          <a:ext cx="2743200" cy="419100"/>
          <a:chOff x="356" y="3487"/>
          <a:chExt cx="274" cy="44"/>
        </a:xfrm>
      </xdr:grpSpPr>
      <xdr:pic>
        <xdr:nvPicPr>
          <xdr:cNvPr id="26787" name="Picture 163">
            <a:extLst>
              <a:ext uri="{FF2B5EF4-FFF2-40B4-BE49-F238E27FC236}">
                <a16:creationId xmlns:a16="http://schemas.microsoft.com/office/drawing/2014/main" id="{00000000-0008-0000-0200-0000A36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536" y="3487"/>
            <a:ext cx="94" cy="43"/>
          </a:xfrm>
          <a:prstGeom prst="rect">
            <a:avLst/>
          </a:prstGeom>
          <a:noFill/>
          <a:ln w="1">
            <a:noFill/>
            <a:miter lim="800000"/>
            <a:headEnd/>
            <a:tailEnd/>
          </a:ln>
          <a:effectLst/>
        </xdr:spPr>
      </xdr:pic>
      <xdr:pic>
        <xdr:nvPicPr>
          <xdr:cNvPr id="26788" name="Picture 164">
            <a:extLst>
              <a:ext uri="{FF2B5EF4-FFF2-40B4-BE49-F238E27FC236}">
                <a16:creationId xmlns:a16="http://schemas.microsoft.com/office/drawing/2014/main" id="{00000000-0008-0000-0200-0000A468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356" y="3488"/>
            <a:ext cx="180" cy="43"/>
          </a:xfrm>
          <a:prstGeom prst="rect">
            <a:avLst/>
          </a:prstGeom>
          <a:noFill/>
          <a:ln w="1">
            <a:noFill/>
            <a:miter lim="800000"/>
            <a:headEnd/>
            <a:tailEnd/>
          </a:ln>
          <a:effectLst/>
        </xdr:spPr>
      </xdr:pic>
    </xdr:grpSp>
    <xdr:clientData/>
  </xdr:twoCellAnchor>
  <xdr:twoCellAnchor editAs="oneCell">
    <xdr:from>
      <xdr:col>26</xdr:col>
      <xdr:colOff>47625</xdr:colOff>
      <xdr:row>217</xdr:row>
      <xdr:rowOff>19050</xdr:rowOff>
    </xdr:from>
    <xdr:to>
      <xdr:col>99</xdr:col>
      <xdr:colOff>57150</xdr:colOff>
      <xdr:row>219</xdr:row>
      <xdr:rowOff>57150</xdr:rowOff>
    </xdr:to>
    <xdr:pic>
      <xdr:nvPicPr>
        <xdr:cNvPr id="26789" name="Picture 165">
          <a:extLst>
            <a:ext uri="{FF2B5EF4-FFF2-40B4-BE49-F238E27FC236}">
              <a16:creationId xmlns:a16="http://schemas.microsoft.com/office/drawing/2014/main" id="{00000000-0008-0000-0200-0000A56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2476500" y="33909000"/>
          <a:ext cx="6962775" cy="361950"/>
        </a:xfrm>
        <a:prstGeom prst="rect">
          <a:avLst/>
        </a:prstGeom>
        <a:noFill/>
        <a:ln w="1">
          <a:noFill/>
          <a:miter lim="800000"/>
          <a:headEnd/>
          <a:tailEnd/>
        </a:ln>
        <a:effectLst/>
      </xdr:spPr>
    </xdr:pic>
    <xdr:clientData/>
  </xdr:twoCellAnchor>
  <xdr:twoCellAnchor>
    <xdr:from>
      <xdr:col>77</xdr:col>
      <xdr:colOff>28575</xdr:colOff>
      <xdr:row>218</xdr:row>
      <xdr:rowOff>76200</xdr:rowOff>
    </xdr:from>
    <xdr:to>
      <xdr:col>79</xdr:col>
      <xdr:colOff>38100</xdr:colOff>
      <xdr:row>219</xdr:row>
      <xdr:rowOff>76200</xdr:rowOff>
    </xdr:to>
    <xdr:sp macro="" textlink="">
      <xdr:nvSpPr>
        <xdr:cNvPr id="26790" name="AutoShape 166">
          <a:extLst>
            <a:ext uri="{FF2B5EF4-FFF2-40B4-BE49-F238E27FC236}">
              <a16:creationId xmlns:a16="http://schemas.microsoft.com/office/drawing/2014/main" id="{00000000-0008-0000-0200-0000A6680000}"/>
            </a:ext>
          </a:extLst>
        </xdr:cNvPr>
        <xdr:cNvSpPr>
          <a:spLocks noChangeArrowheads="1"/>
        </xdr:cNvSpPr>
      </xdr:nvSpPr>
      <xdr:spPr bwMode="auto">
        <a:xfrm>
          <a:off x="7315200" y="34128075"/>
          <a:ext cx="200025" cy="161925"/>
        </a:xfrm>
        <a:prstGeom prst="roundRect">
          <a:avLst>
            <a:gd name="adj" fmla="val 16667"/>
          </a:avLst>
        </a:prstGeom>
        <a:noFill/>
        <a:ln w="28575">
          <a:solidFill>
            <a:srgbClr val="800080"/>
          </a:solidFill>
          <a:round/>
          <a:headEnd/>
          <a:tailEnd/>
        </a:ln>
      </xdr:spPr>
    </xdr:sp>
    <xdr:clientData/>
  </xdr:twoCellAnchor>
  <xdr:twoCellAnchor>
    <xdr:from>
      <xdr:col>77</xdr:col>
      <xdr:colOff>9525</xdr:colOff>
      <xdr:row>222</xdr:row>
      <xdr:rowOff>152400</xdr:rowOff>
    </xdr:from>
    <xdr:to>
      <xdr:col>79</xdr:col>
      <xdr:colOff>19050</xdr:colOff>
      <xdr:row>223</xdr:row>
      <xdr:rowOff>152400</xdr:rowOff>
    </xdr:to>
    <xdr:sp macro="" textlink="">
      <xdr:nvSpPr>
        <xdr:cNvPr id="26791" name="AutoShape 167">
          <a:extLst>
            <a:ext uri="{FF2B5EF4-FFF2-40B4-BE49-F238E27FC236}">
              <a16:creationId xmlns:a16="http://schemas.microsoft.com/office/drawing/2014/main" id="{00000000-0008-0000-0200-0000A7680000}"/>
            </a:ext>
          </a:extLst>
        </xdr:cNvPr>
        <xdr:cNvSpPr>
          <a:spLocks noChangeArrowheads="1"/>
        </xdr:cNvSpPr>
      </xdr:nvSpPr>
      <xdr:spPr bwMode="auto">
        <a:xfrm>
          <a:off x="7296150" y="34851975"/>
          <a:ext cx="200025" cy="161925"/>
        </a:xfrm>
        <a:prstGeom prst="roundRect">
          <a:avLst>
            <a:gd name="adj" fmla="val 16667"/>
          </a:avLst>
        </a:prstGeom>
        <a:noFill/>
        <a:ln w="28575">
          <a:solidFill>
            <a:srgbClr val="800080"/>
          </a:solidFill>
          <a:round/>
          <a:headEnd/>
          <a:tailEnd/>
        </a:ln>
      </xdr:spPr>
    </xdr:sp>
    <xdr:clientData/>
  </xdr:twoCellAnchor>
  <xdr:twoCellAnchor>
    <xdr:from>
      <xdr:col>76</xdr:col>
      <xdr:colOff>85725</xdr:colOff>
      <xdr:row>219</xdr:row>
      <xdr:rowOff>123825</xdr:rowOff>
    </xdr:from>
    <xdr:to>
      <xdr:col>79</xdr:col>
      <xdr:colOff>66675</xdr:colOff>
      <xdr:row>222</xdr:row>
      <xdr:rowOff>104775</xdr:rowOff>
    </xdr:to>
    <xdr:sp macro="" textlink="">
      <xdr:nvSpPr>
        <xdr:cNvPr id="26792" name="AutoShape 168">
          <a:extLst>
            <a:ext uri="{FF2B5EF4-FFF2-40B4-BE49-F238E27FC236}">
              <a16:creationId xmlns:a16="http://schemas.microsoft.com/office/drawing/2014/main" id="{00000000-0008-0000-0200-0000A8680000}"/>
            </a:ext>
          </a:extLst>
        </xdr:cNvPr>
        <xdr:cNvSpPr>
          <a:spLocks noChangeArrowheads="1"/>
        </xdr:cNvSpPr>
      </xdr:nvSpPr>
      <xdr:spPr bwMode="auto">
        <a:xfrm rot="5400000" flipV="1">
          <a:off x="7177087" y="34437638"/>
          <a:ext cx="466725" cy="266700"/>
        </a:xfrm>
        <a:custGeom>
          <a:avLst/>
          <a:gdLst>
            <a:gd name="G0" fmla="+- 16200 0 0"/>
            <a:gd name="G1" fmla="+- 5400 0 0"/>
            <a:gd name="G2" fmla="+- 21600 0 5400"/>
            <a:gd name="G3" fmla="+- 10800 0 5400"/>
            <a:gd name="G4" fmla="+- 21600 0 16200"/>
            <a:gd name="G5" fmla="*/ G4 G3 10800"/>
            <a:gd name="G6" fmla="+- 21600 0 G5"/>
            <a:gd name="T0" fmla="*/ 16200 w 21600"/>
            <a:gd name="T1" fmla="*/ 0 h 21600"/>
            <a:gd name="T2" fmla="*/ 0 w 21600"/>
            <a:gd name="T3" fmla="*/ 10800 h 21600"/>
            <a:gd name="T4" fmla="*/ 16200 w 21600"/>
            <a:gd name="T5" fmla="*/ 21600 h 21600"/>
            <a:gd name="T6" fmla="*/ 21600 w 21600"/>
            <a:gd name="T7" fmla="*/ 10800 h 21600"/>
            <a:gd name="T8" fmla="*/ 17694720 60000 65536"/>
            <a:gd name="T9" fmla="*/ 11796480 60000 65536"/>
            <a:gd name="T10" fmla="*/ 5898240 60000 65536"/>
            <a:gd name="T11" fmla="*/ 0 60000 65536"/>
            <a:gd name="T12" fmla="*/ 3375 w 21600"/>
            <a:gd name="T13" fmla="*/ G1 h 21600"/>
            <a:gd name="T14" fmla="*/ G6 w 21600"/>
            <a:gd name="T15" fmla="*/ G2 h 21600"/>
          </a:gdLst>
          <a:ahLst/>
          <a:cxnLst>
            <a:cxn ang="T8">
              <a:pos x="T0" y="T1"/>
            </a:cxn>
            <a:cxn ang="T9">
              <a:pos x="T2" y="T3"/>
            </a:cxn>
            <a:cxn ang="T10">
              <a:pos x="T4" y="T5"/>
            </a:cxn>
            <a:cxn ang="T11">
              <a:pos x="T6" y="T7"/>
            </a:cxn>
          </a:cxnLst>
          <a:rect l="T12" t="T13" r="T14" b="T15"/>
          <a:pathLst>
            <a:path w="21600" h="21600">
              <a:moveTo>
                <a:pt x="16200" y="0"/>
              </a:moveTo>
              <a:lnTo>
                <a:pt x="16200" y="5400"/>
              </a:lnTo>
              <a:lnTo>
                <a:pt x="3375" y="5400"/>
              </a:lnTo>
              <a:lnTo>
                <a:pt x="3375" y="16200"/>
              </a:lnTo>
              <a:lnTo>
                <a:pt x="16200" y="16200"/>
              </a:lnTo>
              <a:lnTo>
                <a:pt x="16200" y="21600"/>
              </a:lnTo>
              <a:lnTo>
                <a:pt x="21600" y="10800"/>
              </a:lnTo>
              <a:close/>
            </a:path>
            <a:path w="21600" h="21600">
              <a:moveTo>
                <a:pt x="1350" y="5400"/>
              </a:moveTo>
              <a:lnTo>
                <a:pt x="1350" y="16200"/>
              </a:lnTo>
              <a:lnTo>
                <a:pt x="2700" y="16200"/>
              </a:lnTo>
              <a:lnTo>
                <a:pt x="2700" y="5400"/>
              </a:lnTo>
              <a:close/>
            </a:path>
            <a:path w="21600" h="21600">
              <a:moveTo>
                <a:pt x="0" y="5400"/>
              </a:moveTo>
              <a:lnTo>
                <a:pt x="0" y="16200"/>
              </a:lnTo>
              <a:lnTo>
                <a:pt x="675" y="16200"/>
              </a:lnTo>
              <a:lnTo>
                <a:pt x="675" y="5400"/>
              </a:lnTo>
              <a:close/>
            </a:path>
          </a:pathLst>
        </a:custGeom>
        <a:solidFill>
          <a:srgbClr val="FF9900"/>
        </a:solidFill>
        <a:ln w="9525">
          <a:solidFill>
            <a:srgbClr val="000000"/>
          </a:solidFill>
          <a:miter lim="800000"/>
          <a:headEnd/>
          <a:tailEnd/>
        </a:ln>
      </xdr:spPr>
    </xdr:sp>
    <xdr:clientData/>
  </xdr:twoCellAnchor>
  <xdr:twoCellAnchor>
    <xdr:from>
      <xdr:col>26</xdr:col>
      <xdr:colOff>19050</xdr:colOff>
      <xdr:row>218</xdr:row>
      <xdr:rowOff>47625</xdr:rowOff>
    </xdr:from>
    <xdr:to>
      <xdr:col>39</xdr:col>
      <xdr:colOff>47625</xdr:colOff>
      <xdr:row>219</xdr:row>
      <xdr:rowOff>66675</xdr:rowOff>
    </xdr:to>
    <xdr:sp macro="" textlink="">
      <xdr:nvSpPr>
        <xdr:cNvPr id="26793" name="AutoShape 169">
          <a:extLst>
            <a:ext uri="{FF2B5EF4-FFF2-40B4-BE49-F238E27FC236}">
              <a16:creationId xmlns:a16="http://schemas.microsoft.com/office/drawing/2014/main" id="{00000000-0008-0000-0200-0000A9680000}"/>
            </a:ext>
          </a:extLst>
        </xdr:cNvPr>
        <xdr:cNvSpPr>
          <a:spLocks noChangeArrowheads="1"/>
        </xdr:cNvSpPr>
      </xdr:nvSpPr>
      <xdr:spPr bwMode="auto">
        <a:xfrm>
          <a:off x="2447925" y="34099500"/>
          <a:ext cx="1266825" cy="180975"/>
        </a:xfrm>
        <a:prstGeom prst="roundRect">
          <a:avLst>
            <a:gd name="adj" fmla="val 16667"/>
          </a:avLst>
        </a:prstGeom>
        <a:noFill/>
        <a:ln w="28575">
          <a:solidFill>
            <a:srgbClr val="800080"/>
          </a:solidFill>
          <a:round/>
          <a:headEnd/>
          <a:tailEnd/>
        </a:ln>
      </xdr:spPr>
    </xdr:sp>
    <xdr:clientData/>
  </xdr:twoCellAnchor>
  <xdr:twoCellAnchor>
    <xdr:from>
      <xdr:col>57</xdr:col>
      <xdr:colOff>38100</xdr:colOff>
      <xdr:row>222</xdr:row>
      <xdr:rowOff>133350</xdr:rowOff>
    </xdr:from>
    <xdr:to>
      <xdr:col>69</xdr:col>
      <xdr:colOff>76200</xdr:colOff>
      <xdr:row>224</xdr:row>
      <xdr:rowOff>19050</xdr:rowOff>
    </xdr:to>
    <xdr:sp macro="" textlink="">
      <xdr:nvSpPr>
        <xdr:cNvPr id="26794" name="AutoShape 170">
          <a:extLst>
            <a:ext uri="{FF2B5EF4-FFF2-40B4-BE49-F238E27FC236}">
              <a16:creationId xmlns:a16="http://schemas.microsoft.com/office/drawing/2014/main" id="{00000000-0008-0000-0200-0000AA680000}"/>
            </a:ext>
          </a:extLst>
        </xdr:cNvPr>
        <xdr:cNvSpPr>
          <a:spLocks noChangeArrowheads="1"/>
        </xdr:cNvSpPr>
      </xdr:nvSpPr>
      <xdr:spPr bwMode="auto">
        <a:xfrm>
          <a:off x="5419725" y="34832925"/>
          <a:ext cx="1181100" cy="209550"/>
        </a:xfrm>
        <a:prstGeom prst="roundRect">
          <a:avLst>
            <a:gd name="adj" fmla="val 16667"/>
          </a:avLst>
        </a:prstGeom>
        <a:noFill/>
        <a:ln w="28575">
          <a:solidFill>
            <a:srgbClr val="800080"/>
          </a:solidFill>
          <a:round/>
          <a:headEnd/>
          <a:tailEnd/>
        </a:ln>
      </xdr:spPr>
    </xdr:sp>
    <xdr:clientData/>
  </xdr:twoCellAnchor>
  <xdr:twoCellAnchor editAs="oneCell">
    <xdr:from>
      <xdr:col>37</xdr:col>
      <xdr:colOff>66675</xdr:colOff>
      <xdr:row>324</xdr:row>
      <xdr:rowOff>152400</xdr:rowOff>
    </xdr:from>
    <xdr:to>
      <xdr:col>59</xdr:col>
      <xdr:colOff>28575</xdr:colOff>
      <xdr:row>326</xdr:row>
      <xdr:rowOff>0</xdr:rowOff>
    </xdr:to>
    <xdr:pic>
      <xdr:nvPicPr>
        <xdr:cNvPr id="26796" name="Picture 172">
          <a:extLst>
            <a:ext uri="{FF2B5EF4-FFF2-40B4-BE49-F238E27FC236}">
              <a16:creationId xmlns:a16="http://schemas.microsoft.com/office/drawing/2014/main" id="{00000000-0008-0000-0200-0000AC680000}"/>
            </a:ext>
          </a:extLst>
        </xdr:cNvPr>
        <xdr:cNvPicPr>
          <a:picLocks noChangeAspect="1" noChangeArrowheads="1"/>
        </xdr:cNvPicPr>
      </xdr:nvPicPr>
      <xdr:blipFill>
        <a:blip xmlns:r="http://schemas.openxmlformats.org/officeDocument/2006/relationships" r:embed="rId18" cstate="print"/>
        <a:srcRect/>
        <a:stretch>
          <a:fillRect/>
        </a:stretch>
      </xdr:blipFill>
      <xdr:spPr bwMode="auto">
        <a:xfrm>
          <a:off x="3543300" y="51368325"/>
          <a:ext cx="2057400" cy="171450"/>
        </a:xfrm>
        <a:prstGeom prst="rect">
          <a:avLst/>
        </a:prstGeom>
        <a:noFill/>
        <a:ln w="1">
          <a:noFill/>
          <a:miter lim="800000"/>
          <a:headEnd/>
          <a:tailEnd/>
        </a:ln>
        <a:effectLst/>
      </xdr:spPr>
    </xdr:pic>
    <xdr:clientData/>
  </xdr:twoCellAnchor>
  <xdr:twoCellAnchor editAs="oneCell">
    <xdr:from>
      <xdr:col>15</xdr:col>
      <xdr:colOff>57150</xdr:colOff>
      <xdr:row>338</xdr:row>
      <xdr:rowOff>142875</xdr:rowOff>
    </xdr:from>
    <xdr:to>
      <xdr:col>37</xdr:col>
      <xdr:colOff>76200</xdr:colOff>
      <xdr:row>339</xdr:row>
      <xdr:rowOff>142875</xdr:rowOff>
    </xdr:to>
    <xdr:pic>
      <xdr:nvPicPr>
        <xdr:cNvPr id="26797" name="Picture 173">
          <a:extLst>
            <a:ext uri="{FF2B5EF4-FFF2-40B4-BE49-F238E27FC236}">
              <a16:creationId xmlns:a16="http://schemas.microsoft.com/office/drawing/2014/main" id="{00000000-0008-0000-0200-0000AD680000}"/>
            </a:ext>
          </a:extLst>
        </xdr:cNvPr>
        <xdr:cNvPicPr>
          <a:picLocks noChangeAspect="1" noChangeArrowheads="1"/>
        </xdr:cNvPicPr>
      </xdr:nvPicPr>
      <xdr:blipFill>
        <a:blip xmlns:r="http://schemas.openxmlformats.org/officeDocument/2006/relationships" r:embed="rId19" cstate="print"/>
        <a:srcRect/>
        <a:stretch>
          <a:fillRect/>
        </a:stretch>
      </xdr:blipFill>
      <xdr:spPr bwMode="auto">
        <a:xfrm>
          <a:off x="1438275" y="53625750"/>
          <a:ext cx="2114550" cy="161925"/>
        </a:xfrm>
        <a:prstGeom prst="rect">
          <a:avLst/>
        </a:prstGeom>
        <a:noFill/>
        <a:ln w="1">
          <a:noFill/>
          <a:miter lim="800000"/>
          <a:headEnd/>
          <a:tailEnd/>
        </a:ln>
        <a:effectLst/>
      </xdr:spPr>
    </xdr:pic>
    <xdr:clientData/>
  </xdr:twoCellAnchor>
  <xdr:twoCellAnchor>
    <xdr:from>
      <xdr:col>37</xdr:col>
      <xdr:colOff>38100</xdr:colOff>
      <xdr:row>324</xdr:row>
      <xdr:rowOff>66675</xdr:rowOff>
    </xdr:from>
    <xdr:to>
      <xdr:col>38</xdr:col>
      <xdr:colOff>19050</xdr:colOff>
      <xdr:row>325</xdr:row>
      <xdr:rowOff>114300</xdr:rowOff>
    </xdr:to>
    <xdr:sp macro="" textlink="">
      <xdr:nvSpPr>
        <xdr:cNvPr id="26815" name="Line 191">
          <a:extLst>
            <a:ext uri="{FF2B5EF4-FFF2-40B4-BE49-F238E27FC236}">
              <a16:creationId xmlns:a16="http://schemas.microsoft.com/office/drawing/2014/main" id="{00000000-0008-0000-0200-0000BF680000}"/>
            </a:ext>
          </a:extLst>
        </xdr:cNvPr>
        <xdr:cNvSpPr>
          <a:spLocks noChangeShapeType="1"/>
        </xdr:cNvSpPr>
      </xdr:nvSpPr>
      <xdr:spPr bwMode="auto">
        <a:xfrm flipH="1">
          <a:off x="3514725" y="51282600"/>
          <a:ext cx="76200" cy="209550"/>
        </a:xfrm>
        <a:prstGeom prst="line">
          <a:avLst/>
        </a:prstGeom>
        <a:noFill/>
        <a:ln w="19050">
          <a:solidFill>
            <a:srgbClr val="000000"/>
          </a:solidFill>
          <a:round/>
          <a:headEnd/>
          <a:tailEnd/>
        </a:ln>
      </xdr:spPr>
    </xdr:sp>
    <xdr:clientData/>
  </xdr:twoCellAnchor>
  <xdr:twoCellAnchor>
    <xdr:from>
      <xdr:col>37</xdr:col>
      <xdr:colOff>38100</xdr:colOff>
      <xdr:row>325</xdr:row>
      <xdr:rowOff>66675</xdr:rowOff>
    </xdr:from>
    <xdr:to>
      <xdr:col>38</xdr:col>
      <xdr:colOff>19050</xdr:colOff>
      <xdr:row>326</xdr:row>
      <xdr:rowOff>114300</xdr:rowOff>
    </xdr:to>
    <xdr:sp macro="" textlink="">
      <xdr:nvSpPr>
        <xdr:cNvPr id="26816" name="Line 192">
          <a:extLst>
            <a:ext uri="{FF2B5EF4-FFF2-40B4-BE49-F238E27FC236}">
              <a16:creationId xmlns:a16="http://schemas.microsoft.com/office/drawing/2014/main" id="{00000000-0008-0000-0200-0000C0680000}"/>
            </a:ext>
          </a:extLst>
        </xdr:cNvPr>
        <xdr:cNvSpPr>
          <a:spLocks noChangeShapeType="1"/>
        </xdr:cNvSpPr>
      </xdr:nvSpPr>
      <xdr:spPr bwMode="auto">
        <a:xfrm flipH="1">
          <a:off x="3514725" y="51444525"/>
          <a:ext cx="76200" cy="209550"/>
        </a:xfrm>
        <a:prstGeom prst="line">
          <a:avLst/>
        </a:prstGeom>
        <a:noFill/>
        <a:ln w="19050">
          <a:solidFill>
            <a:srgbClr val="000000"/>
          </a:solidFill>
          <a:round/>
          <a:headEnd/>
          <a:tailEnd/>
        </a:ln>
      </xdr:spPr>
    </xdr:sp>
    <xdr:clientData/>
  </xdr:twoCellAnchor>
  <xdr:twoCellAnchor>
    <xdr:from>
      <xdr:col>37</xdr:col>
      <xdr:colOff>38100</xdr:colOff>
      <xdr:row>325</xdr:row>
      <xdr:rowOff>47625</xdr:rowOff>
    </xdr:from>
    <xdr:to>
      <xdr:col>38</xdr:col>
      <xdr:colOff>28575</xdr:colOff>
      <xdr:row>325</xdr:row>
      <xdr:rowOff>114300</xdr:rowOff>
    </xdr:to>
    <xdr:sp macro="" textlink="">
      <xdr:nvSpPr>
        <xdr:cNvPr id="26817" name="Line 193">
          <a:extLst>
            <a:ext uri="{FF2B5EF4-FFF2-40B4-BE49-F238E27FC236}">
              <a16:creationId xmlns:a16="http://schemas.microsoft.com/office/drawing/2014/main" id="{00000000-0008-0000-0200-0000C1680000}"/>
            </a:ext>
          </a:extLst>
        </xdr:cNvPr>
        <xdr:cNvSpPr>
          <a:spLocks noChangeShapeType="1"/>
        </xdr:cNvSpPr>
      </xdr:nvSpPr>
      <xdr:spPr bwMode="auto">
        <a:xfrm flipH="1">
          <a:off x="3514725" y="51425475"/>
          <a:ext cx="85725" cy="66675"/>
        </a:xfrm>
        <a:prstGeom prst="line">
          <a:avLst/>
        </a:prstGeom>
        <a:noFill/>
        <a:ln w="19050">
          <a:solidFill>
            <a:srgbClr val="000000"/>
          </a:solidFill>
          <a:round/>
          <a:headEnd/>
          <a:tailEnd/>
        </a:ln>
      </xdr:spPr>
    </xdr:sp>
    <xdr:clientData/>
  </xdr:twoCellAnchor>
  <xdr:twoCellAnchor>
    <xdr:from>
      <xdr:col>57</xdr:col>
      <xdr:colOff>0</xdr:colOff>
      <xdr:row>323</xdr:row>
      <xdr:rowOff>123825</xdr:rowOff>
    </xdr:from>
    <xdr:to>
      <xdr:col>57</xdr:col>
      <xdr:colOff>0</xdr:colOff>
      <xdr:row>324</xdr:row>
      <xdr:rowOff>152400</xdr:rowOff>
    </xdr:to>
    <xdr:sp macro="" textlink="">
      <xdr:nvSpPr>
        <xdr:cNvPr id="26818" name="Line 194">
          <a:extLst>
            <a:ext uri="{FF2B5EF4-FFF2-40B4-BE49-F238E27FC236}">
              <a16:creationId xmlns:a16="http://schemas.microsoft.com/office/drawing/2014/main" id="{00000000-0008-0000-0200-0000C2680000}"/>
            </a:ext>
          </a:extLst>
        </xdr:cNvPr>
        <xdr:cNvSpPr>
          <a:spLocks noChangeShapeType="1"/>
        </xdr:cNvSpPr>
      </xdr:nvSpPr>
      <xdr:spPr bwMode="auto">
        <a:xfrm>
          <a:off x="5381625" y="51177825"/>
          <a:ext cx="0" cy="190500"/>
        </a:xfrm>
        <a:prstGeom prst="line">
          <a:avLst/>
        </a:prstGeom>
        <a:noFill/>
        <a:ln w="38100">
          <a:solidFill>
            <a:srgbClr val="0000FF"/>
          </a:solidFill>
          <a:round/>
          <a:headEnd/>
          <a:tailEnd type="triangle" w="med" len="med"/>
        </a:ln>
      </xdr:spPr>
    </xdr:sp>
    <xdr:clientData/>
  </xdr:twoCellAnchor>
  <xdr:twoCellAnchor>
    <xdr:from>
      <xdr:col>52</xdr:col>
      <xdr:colOff>85725</xdr:colOff>
      <xdr:row>325</xdr:row>
      <xdr:rowOff>9525</xdr:rowOff>
    </xdr:from>
    <xdr:to>
      <xdr:col>55</xdr:col>
      <xdr:colOff>0</xdr:colOff>
      <xdr:row>326</xdr:row>
      <xdr:rowOff>9525</xdr:rowOff>
    </xdr:to>
    <xdr:sp macro="" textlink="">
      <xdr:nvSpPr>
        <xdr:cNvPr id="26819" name="AutoShape 195">
          <a:extLst>
            <a:ext uri="{FF2B5EF4-FFF2-40B4-BE49-F238E27FC236}">
              <a16:creationId xmlns:a16="http://schemas.microsoft.com/office/drawing/2014/main" id="{00000000-0008-0000-0200-0000C3680000}"/>
            </a:ext>
          </a:extLst>
        </xdr:cNvPr>
        <xdr:cNvSpPr>
          <a:spLocks noChangeArrowheads="1"/>
        </xdr:cNvSpPr>
      </xdr:nvSpPr>
      <xdr:spPr bwMode="auto">
        <a:xfrm>
          <a:off x="4991100" y="51387375"/>
          <a:ext cx="200025" cy="161925"/>
        </a:xfrm>
        <a:prstGeom prst="roundRect">
          <a:avLst>
            <a:gd name="adj" fmla="val 16667"/>
          </a:avLst>
        </a:prstGeom>
        <a:noFill/>
        <a:ln w="28575">
          <a:solidFill>
            <a:srgbClr val="800080"/>
          </a:solidFill>
          <a:round/>
          <a:headEnd/>
          <a:tailEnd/>
        </a:ln>
      </xdr:spPr>
    </xdr:sp>
    <xdr:clientData/>
  </xdr:twoCellAnchor>
  <xdr:twoCellAnchor>
    <xdr:from>
      <xdr:col>92</xdr:col>
      <xdr:colOff>0</xdr:colOff>
      <xdr:row>328</xdr:row>
      <xdr:rowOff>76200</xdr:rowOff>
    </xdr:from>
    <xdr:to>
      <xdr:col>94</xdr:col>
      <xdr:colOff>9525</xdr:colOff>
      <xdr:row>329</xdr:row>
      <xdr:rowOff>76200</xdr:rowOff>
    </xdr:to>
    <xdr:sp macro="" textlink="">
      <xdr:nvSpPr>
        <xdr:cNvPr id="26823" name="AutoShape 199">
          <a:extLst>
            <a:ext uri="{FF2B5EF4-FFF2-40B4-BE49-F238E27FC236}">
              <a16:creationId xmlns:a16="http://schemas.microsoft.com/office/drawing/2014/main" id="{00000000-0008-0000-0200-0000C7680000}"/>
            </a:ext>
          </a:extLst>
        </xdr:cNvPr>
        <xdr:cNvSpPr>
          <a:spLocks noChangeArrowheads="1"/>
        </xdr:cNvSpPr>
      </xdr:nvSpPr>
      <xdr:spPr bwMode="auto">
        <a:xfrm>
          <a:off x="8715375" y="51939825"/>
          <a:ext cx="200025" cy="161925"/>
        </a:xfrm>
        <a:prstGeom prst="roundRect">
          <a:avLst>
            <a:gd name="adj" fmla="val 16667"/>
          </a:avLst>
        </a:prstGeom>
        <a:noFill/>
        <a:ln w="28575">
          <a:solidFill>
            <a:srgbClr val="800080"/>
          </a:solidFill>
          <a:round/>
          <a:headEnd/>
          <a:tailEnd/>
        </a:ln>
      </xdr:spPr>
    </xdr:sp>
    <xdr:clientData/>
  </xdr:twoCellAnchor>
  <xdr:twoCellAnchor editAs="oneCell">
    <xdr:from>
      <xdr:col>51</xdr:col>
      <xdr:colOff>9525</xdr:colOff>
      <xdr:row>321</xdr:row>
      <xdr:rowOff>76200</xdr:rowOff>
    </xdr:from>
    <xdr:to>
      <xdr:col>63</xdr:col>
      <xdr:colOff>9525</xdr:colOff>
      <xdr:row>323</xdr:row>
      <xdr:rowOff>66675</xdr:rowOff>
    </xdr:to>
    <xdr:sp macro="" textlink="">
      <xdr:nvSpPr>
        <xdr:cNvPr id="26824" name="Text Box 200">
          <a:extLst>
            <a:ext uri="{FF2B5EF4-FFF2-40B4-BE49-F238E27FC236}">
              <a16:creationId xmlns:a16="http://schemas.microsoft.com/office/drawing/2014/main" id="{00000000-0008-0000-0200-0000C8680000}"/>
            </a:ext>
          </a:extLst>
        </xdr:cNvPr>
        <xdr:cNvSpPr txBox="1">
          <a:spLocks noChangeArrowheads="1"/>
        </xdr:cNvSpPr>
      </xdr:nvSpPr>
      <xdr:spPr bwMode="auto">
        <a:xfrm>
          <a:off x="4819650" y="50806350"/>
          <a:ext cx="1143000" cy="314325"/>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900" b="1" i="0" u="none" strike="noStrike" baseline="0">
              <a:solidFill>
                <a:srgbClr val="000000"/>
              </a:solidFill>
              <a:latin typeface="Arial"/>
              <a:cs typeface="Arial"/>
            </a:rPr>
            <a:t>Current Weekly Meeting Date </a:t>
          </a:r>
        </a:p>
      </xdr:txBody>
    </xdr:sp>
    <xdr:clientData/>
  </xdr:twoCellAnchor>
  <xdr:twoCellAnchor>
    <xdr:from>
      <xdr:col>57</xdr:col>
      <xdr:colOff>0</xdr:colOff>
      <xdr:row>337</xdr:row>
      <xdr:rowOff>123825</xdr:rowOff>
    </xdr:from>
    <xdr:to>
      <xdr:col>57</xdr:col>
      <xdr:colOff>0</xdr:colOff>
      <xdr:row>338</xdr:row>
      <xdr:rowOff>152400</xdr:rowOff>
    </xdr:to>
    <xdr:sp macro="" textlink="">
      <xdr:nvSpPr>
        <xdr:cNvPr id="26826" name="Line 202">
          <a:extLst>
            <a:ext uri="{FF2B5EF4-FFF2-40B4-BE49-F238E27FC236}">
              <a16:creationId xmlns:a16="http://schemas.microsoft.com/office/drawing/2014/main" id="{00000000-0008-0000-0200-0000CA680000}"/>
            </a:ext>
          </a:extLst>
        </xdr:cNvPr>
        <xdr:cNvSpPr>
          <a:spLocks noChangeShapeType="1"/>
        </xdr:cNvSpPr>
      </xdr:nvSpPr>
      <xdr:spPr bwMode="auto">
        <a:xfrm>
          <a:off x="5381625" y="53444775"/>
          <a:ext cx="0" cy="190500"/>
        </a:xfrm>
        <a:prstGeom prst="line">
          <a:avLst/>
        </a:prstGeom>
        <a:noFill/>
        <a:ln w="38100">
          <a:solidFill>
            <a:srgbClr val="0000FF"/>
          </a:solidFill>
          <a:round/>
          <a:headEnd/>
          <a:tailEnd type="triangle" w="med" len="med"/>
        </a:ln>
      </xdr:spPr>
    </xdr:sp>
    <xdr:clientData/>
  </xdr:twoCellAnchor>
  <xdr:twoCellAnchor editAs="oneCell">
    <xdr:from>
      <xdr:col>51</xdr:col>
      <xdr:colOff>9525</xdr:colOff>
      <xdr:row>335</xdr:row>
      <xdr:rowOff>76200</xdr:rowOff>
    </xdr:from>
    <xdr:to>
      <xdr:col>63</xdr:col>
      <xdr:colOff>9525</xdr:colOff>
      <xdr:row>337</xdr:row>
      <xdr:rowOff>66675</xdr:rowOff>
    </xdr:to>
    <xdr:sp macro="" textlink="">
      <xdr:nvSpPr>
        <xdr:cNvPr id="26827" name="Text Box 203">
          <a:extLst>
            <a:ext uri="{FF2B5EF4-FFF2-40B4-BE49-F238E27FC236}">
              <a16:creationId xmlns:a16="http://schemas.microsoft.com/office/drawing/2014/main" id="{00000000-0008-0000-0200-0000CB680000}"/>
            </a:ext>
          </a:extLst>
        </xdr:cNvPr>
        <xdr:cNvSpPr txBox="1">
          <a:spLocks noChangeArrowheads="1"/>
        </xdr:cNvSpPr>
      </xdr:nvSpPr>
      <xdr:spPr bwMode="auto">
        <a:xfrm>
          <a:off x="4819650" y="53073300"/>
          <a:ext cx="1143000" cy="314325"/>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900" b="1" i="0" u="none" strike="noStrike" baseline="0">
              <a:solidFill>
                <a:srgbClr val="000000"/>
              </a:solidFill>
              <a:latin typeface="Arial"/>
              <a:cs typeface="Arial"/>
            </a:rPr>
            <a:t>Current Weekly Meeting Date </a:t>
          </a:r>
        </a:p>
      </xdr:txBody>
    </xdr:sp>
    <xdr:clientData/>
  </xdr:twoCellAnchor>
  <xdr:twoCellAnchor>
    <xdr:from>
      <xdr:col>37</xdr:col>
      <xdr:colOff>38100</xdr:colOff>
      <xdr:row>338</xdr:row>
      <xdr:rowOff>76200</xdr:rowOff>
    </xdr:from>
    <xdr:to>
      <xdr:col>38</xdr:col>
      <xdr:colOff>19050</xdr:colOff>
      <xdr:row>339</xdr:row>
      <xdr:rowOff>123825</xdr:rowOff>
    </xdr:to>
    <xdr:sp macro="" textlink="">
      <xdr:nvSpPr>
        <xdr:cNvPr id="26828" name="Line 204">
          <a:extLst>
            <a:ext uri="{FF2B5EF4-FFF2-40B4-BE49-F238E27FC236}">
              <a16:creationId xmlns:a16="http://schemas.microsoft.com/office/drawing/2014/main" id="{00000000-0008-0000-0200-0000CC680000}"/>
            </a:ext>
          </a:extLst>
        </xdr:cNvPr>
        <xdr:cNvSpPr>
          <a:spLocks noChangeShapeType="1"/>
        </xdr:cNvSpPr>
      </xdr:nvSpPr>
      <xdr:spPr bwMode="auto">
        <a:xfrm flipH="1">
          <a:off x="3514725" y="53559075"/>
          <a:ext cx="76200" cy="209550"/>
        </a:xfrm>
        <a:prstGeom prst="line">
          <a:avLst/>
        </a:prstGeom>
        <a:noFill/>
        <a:ln w="19050">
          <a:solidFill>
            <a:srgbClr val="000000"/>
          </a:solidFill>
          <a:round/>
          <a:headEnd/>
          <a:tailEnd/>
        </a:ln>
      </xdr:spPr>
    </xdr:sp>
    <xdr:clientData/>
  </xdr:twoCellAnchor>
  <xdr:twoCellAnchor>
    <xdr:from>
      <xdr:col>37</xdr:col>
      <xdr:colOff>38100</xdr:colOff>
      <xdr:row>339</xdr:row>
      <xdr:rowOff>66675</xdr:rowOff>
    </xdr:from>
    <xdr:to>
      <xdr:col>38</xdr:col>
      <xdr:colOff>19050</xdr:colOff>
      <xdr:row>340</xdr:row>
      <xdr:rowOff>114300</xdr:rowOff>
    </xdr:to>
    <xdr:sp macro="" textlink="">
      <xdr:nvSpPr>
        <xdr:cNvPr id="26829" name="Line 205">
          <a:extLst>
            <a:ext uri="{FF2B5EF4-FFF2-40B4-BE49-F238E27FC236}">
              <a16:creationId xmlns:a16="http://schemas.microsoft.com/office/drawing/2014/main" id="{00000000-0008-0000-0200-0000CD680000}"/>
            </a:ext>
          </a:extLst>
        </xdr:cNvPr>
        <xdr:cNvSpPr>
          <a:spLocks noChangeShapeType="1"/>
        </xdr:cNvSpPr>
      </xdr:nvSpPr>
      <xdr:spPr bwMode="auto">
        <a:xfrm flipH="1">
          <a:off x="3514725" y="53711475"/>
          <a:ext cx="76200" cy="209550"/>
        </a:xfrm>
        <a:prstGeom prst="line">
          <a:avLst/>
        </a:prstGeom>
        <a:noFill/>
        <a:ln w="19050">
          <a:solidFill>
            <a:srgbClr val="000000"/>
          </a:solidFill>
          <a:round/>
          <a:headEnd/>
          <a:tailEnd/>
        </a:ln>
      </xdr:spPr>
    </xdr:sp>
    <xdr:clientData/>
  </xdr:twoCellAnchor>
  <xdr:twoCellAnchor>
    <xdr:from>
      <xdr:col>37</xdr:col>
      <xdr:colOff>19050</xdr:colOff>
      <xdr:row>339</xdr:row>
      <xdr:rowOff>76200</xdr:rowOff>
    </xdr:from>
    <xdr:to>
      <xdr:col>38</xdr:col>
      <xdr:colOff>9525</xdr:colOff>
      <xdr:row>339</xdr:row>
      <xdr:rowOff>142875</xdr:rowOff>
    </xdr:to>
    <xdr:sp macro="" textlink="">
      <xdr:nvSpPr>
        <xdr:cNvPr id="26830" name="Line 206">
          <a:extLst>
            <a:ext uri="{FF2B5EF4-FFF2-40B4-BE49-F238E27FC236}">
              <a16:creationId xmlns:a16="http://schemas.microsoft.com/office/drawing/2014/main" id="{00000000-0008-0000-0200-0000CE680000}"/>
            </a:ext>
          </a:extLst>
        </xdr:cNvPr>
        <xdr:cNvSpPr>
          <a:spLocks noChangeShapeType="1"/>
        </xdr:cNvSpPr>
      </xdr:nvSpPr>
      <xdr:spPr bwMode="auto">
        <a:xfrm flipH="1">
          <a:off x="3495675" y="53721000"/>
          <a:ext cx="85725" cy="66675"/>
        </a:xfrm>
        <a:prstGeom prst="line">
          <a:avLst/>
        </a:prstGeom>
        <a:noFill/>
        <a:ln w="19050">
          <a:solidFill>
            <a:srgbClr val="000000"/>
          </a:solidFill>
          <a:round/>
          <a:headEnd/>
          <a:tailEnd/>
        </a:ln>
      </xdr:spPr>
    </xdr:sp>
    <xdr:clientData/>
  </xdr:twoCellAnchor>
  <xdr:twoCellAnchor>
    <xdr:from>
      <xdr:col>55</xdr:col>
      <xdr:colOff>57150</xdr:colOff>
      <xdr:row>338</xdr:row>
      <xdr:rowOff>123825</xdr:rowOff>
    </xdr:from>
    <xdr:to>
      <xdr:col>58</xdr:col>
      <xdr:colOff>19050</xdr:colOff>
      <xdr:row>340</xdr:row>
      <xdr:rowOff>0</xdr:rowOff>
    </xdr:to>
    <xdr:sp macro="" textlink="">
      <xdr:nvSpPr>
        <xdr:cNvPr id="26832" name="AutoShape 208">
          <a:extLst>
            <a:ext uri="{FF2B5EF4-FFF2-40B4-BE49-F238E27FC236}">
              <a16:creationId xmlns:a16="http://schemas.microsoft.com/office/drawing/2014/main" id="{00000000-0008-0000-0200-0000D0680000}"/>
            </a:ext>
          </a:extLst>
        </xdr:cNvPr>
        <xdr:cNvSpPr>
          <a:spLocks noChangeArrowheads="1"/>
        </xdr:cNvSpPr>
      </xdr:nvSpPr>
      <xdr:spPr bwMode="auto">
        <a:xfrm>
          <a:off x="5248275" y="53606700"/>
          <a:ext cx="247650" cy="200025"/>
        </a:xfrm>
        <a:prstGeom prst="roundRect">
          <a:avLst>
            <a:gd name="adj" fmla="val 16667"/>
          </a:avLst>
        </a:prstGeom>
        <a:noFill/>
        <a:ln w="28575">
          <a:solidFill>
            <a:srgbClr val="800080"/>
          </a:solidFill>
          <a:round/>
          <a:headEnd/>
          <a:tailEnd/>
        </a:ln>
      </xdr:spPr>
    </xdr:sp>
    <xdr:clientData/>
  </xdr:twoCellAnchor>
  <xdr:twoCellAnchor>
    <xdr:from>
      <xdr:col>98</xdr:col>
      <xdr:colOff>85725</xdr:colOff>
      <xdr:row>341</xdr:row>
      <xdr:rowOff>85725</xdr:rowOff>
    </xdr:from>
    <xdr:to>
      <xdr:col>101</xdr:col>
      <xdr:colOff>9525</xdr:colOff>
      <xdr:row>342</xdr:row>
      <xdr:rowOff>85725</xdr:rowOff>
    </xdr:to>
    <xdr:sp macro="" textlink="">
      <xdr:nvSpPr>
        <xdr:cNvPr id="26836" name="AutoShape 212">
          <a:extLst>
            <a:ext uri="{FF2B5EF4-FFF2-40B4-BE49-F238E27FC236}">
              <a16:creationId xmlns:a16="http://schemas.microsoft.com/office/drawing/2014/main" id="{00000000-0008-0000-0200-0000D4680000}"/>
            </a:ext>
          </a:extLst>
        </xdr:cNvPr>
        <xdr:cNvSpPr>
          <a:spLocks noChangeArrowheads="1"/>
        </xdr:cNvSpPr>
      </xdr:nvSpPr>
      <xdr:spPr bwMode="auto">
        <a:xfrm>
          <a:off x="9372600" y="54054375"/>
          <a:ext cx="200025" cy="161925"/>
        </a:xfrm>
        <a:prstGeom prst="roundRect">
          <a:avLst>
            <a:gd name="adj" fmla="val 16667"/>
          </a:avLst>
        </a:prstGeom>
        <a:noFill/>
        <a:ln w="28575">
          <a:solidFill>
            <a:srgbClr val="800080"/>
          </a:solidFill>
          <a:round/>
          <a:headEnd/>
          <a:tailEnd/>
        </a:ln>
      </xdr:spPr>
    </xdr:sp>
    <xdr:clientData/>
  </xdr:twoCellAnchor>
  <xdr:twoCellAnchor>
    <xdr:from>
      <xdr:col>57</xdr:col>
      <xdr:colOff>19050</xdr:colOff>
      <xdr:row>339</xdr:row>
      <xdr:rowOff>104775</xdr:rowOff>
    </xdr:from>
    <xdr:to>
      <xdr:col>99</xdr:col>
      <xdr:colOff>0</xdr:colOff>
      <xdr:row>342</xdr:row>
      <xdr:rowOff>19050</xdr:rowOff>
    </xdr:to>
    <xdr:grpSp>
      <xdr:nvGrpSpPr>
        <xdr:cNvPr id="26833" name="Group 209">
          <a:extLst>
            <a:ext uri="{FF2B5EF4-FFF2-40B4-BE49-F238E27FC236}">
              <a16:creationId xmlns:a16="http://schemas.microsoft.com/office/drawing/2014/main" id="{00000000-0008-0000-0200-0000D1680000}"/>
            </a:ext>
          </a:extLst>
        </xdr:cNvPr>
        <xdr:cNvGrpSpPr>
          <a:grpSpLocks/>
        </xdr:cNvGrpSpPr>
      </xdr:nvGrpSpPr>
      <xdr:grpSpPr bwMode="auto">
        <a:xfrm>
          <a:off x="5672138" y="53954363"/>
          <a:ext cx="4181475" cy="400050"/>
          <a:chOff x="456" y="3364"/>
          <a:chExt cx="393" cy="39"/>
        </a:xfrm>
      </xdr:grpSpPr>
      <xdr:sp macro="" textlink="">
        <xdr:nvSpPr>
          <xdr:cNvPr id="26834" name="Line 210">
            <a:extLst>
              <a:ext uri="{FF2B5EF4-FFF2-40B4-BE49-F238E27FC236}">
                <a16:creationId xmlns:a16="http://schemas.microsoft.com/office/drawing/2014/main" id="{00000000-0008-0000-0200-0000D2680000}"/>
              </a:ext>
            </a:extLst>
          </xdr:cNvPr>
          <xdr:cNvSpPr>
            <a:spLocks noChangeShapeType="1"/>
          </xdr:cNvSpPr>
        </xdr:nvSpPr>
        <xdr:spPr bwMode="auto">
          <a:xfrm>
            <a:off x="456" y="3364"/>
            <a:ext cx="106" cy="16"/>
          </a:xfrm>
          <a:prstGeom prst="line">
            <a:avLst/>
          </a:prstGeom>
          <a:noFill/>
          <a:ln w="28575">
            <a:solidFill>
              <a:srgbClr val="FF6600"/>
            </a:solidFill>
            <a:round/>
            <a:headEnd/>
            <a:tailEnd/>
          </a:ln>
        </xdr:spPr>
      </xdr:sp>
      <xdr:sp macro="" textlink="">
        <xdr:nvSpPr>
          <xdr:cNvPr id="26835" name="Line 211">
            <a:extLst>
              <a:ext uri="{FF2B5EF4-FFF2-40B4-BE49-F238E27FC236}">
                <a16:creationId xmlns:a16="http://schemas.microsoft.com/office/drawing/2014/main" id="{00000000-0008-0000-0200-0000D3680000}"/>
              </a:ext>
            </a:extLst>
          </xdr:cNvPr>
          <xdr:cNvSpPr>
            <a:spLocks noChangeShapeType="1"/>
          </xdr:cNvSpPr>
        </xdr:nvSpPr>
        <xdr:spPr bwMode="auto">
          <a:xfrm>
            <a:off x="558" y="3380"/>
            <a:ext cx="291" cy="23"/>
          </a:xfrm>
          <a:prstGeom prst="line">
            <a:avLst/>
          </a:prstGeom>
          <a:noFill/>
          <a:ln w="28575">
            <a:solidFill>
              <a:srgbClr val="FF6600"/>
            </a:solidFill>
            <a:round/>
            <a:headEnd/>
            <a:tailEnd type="triangle" w="med" len="med"/>
          </a:ln>
        </xdr:spPr>
      </xdr:sp>
    </xdr:grpSp>
    <xdr:clientData/>
  </xdr:twoCellAnchor>
  <xdr:twoCellAnchor editAs="oneCell">
    <xdr:from>
      <xdr:col>12</xdr:col>
      <xdr:colOff>0</xdr:colOff>
      <xdr:row>7</xdr:row>
      <xdr:rowOff>104775</xdr:rowOff>
    </xdr:from>
    <xdr:to>
      <xdr:col>81</xdr:col>
      <xdr:colOff>0</xdr:colOff>
      <xdr:row>45</xdr:row>
      <xdr:rowOff>114300</xdr:rowOff>
    </xdr:to>
    <xdr:pic>
      <xdr:nvPicPr>
        <xdr:cNvPr id="26837" name="Picture 213">
          <a:extLst>
            <a:ext uri="{FF2B5EF4-FFF2-40B4-BE49-F238E27FC236}">
              <a16:creationId xmlns:a16="http://schemas.microsoft.com/office/drawing/2014/main" id="{00000000-0008-0000-0200-0000D5680000}"/>
            </a:ext>
          </a:extLst>
        </xdr:cNvPr>
        <xdr:cNvPicPr>
          <a:picLocks noChangeAspect="1" noChangeArrowheads="1"/>
        </xdr:cNvPicPr>
      </xdr:nvPicPr>
      <xdr:blipFill>
        <a:blip xmlns:r="http://schemas.openxmlformats.org/officeDocument/2006/relationships" r:embed="rId20" cstate="print"/>
        <a:srcRect/>
        <a:stretch>
          <a:fillRect/>
        </a:stretch>
      </xdr:blipFill>
      <xdr:spPr bwMode="auto">
        <a:xfrm>
          <a:off x="1095375" y="1104900"/>
          <a:ext cx="6572250" cy="5076825"/>
        </a:xfrm>
        <a:prstGeom prst="rect">
          <a:avLst/>
        </a:prstGeom>
        <a:noFill/>
        <a:ln w="1">
          <a:noFill/>
          <a:miter lim="800000"/>
          <a:headEnd/>
          <a:tailEnd/>
        </a:ln>
        <a:effectLst/>
      </xdr:spPr>
    </xdr:pic>
    <xdr:clientData/>
  </xdr:twoCellAnchor>
  <xdr:twoCellAnchor>
    <xdr:from>
      <xdr:col>54</xdr:col>
      <xdr:colOff>28575</xdr:colOff>
      <xdr:row>325</xdr:row>
      <xdr:rowOff>142875</xdr:rowOff>
    </xdr:from>
    <xdr:to>
      <xdr:col>92</xdr:col>
      <xdr:colOff>57150</xdr:colOff>
      <xdr:row>329</xdr:row>
      <xdr:rowOff>0</xdr:rowOff>
    </xdr:to>
    <xdr:grpSp>
      <xdr:nvGrpSpPr>
        <xdr:cNvPr id="26820" name="Group 196">
          <a:extLst>
            <a:ext uri="{FF2B5EF4-FFF2-40B4-BE49-F238E27FC236}">
              <a16:creationId xmlns:a16="http://schemas.microsoft.com/office/drawing/2014/main" id="{00000000-0008-0000-0200-0000C4680000}"/>
            </a:ext>
          </a:extLst>
        </xdr:cNvPr>
        <xdr:cNvGrpSpPr>
          <a:grpSpLocks/>
        </xdr:cNvGrpSpPr>
      </xdr:nvGrpSpPr>
      <xdr:grpSpPr bwMode="auto">
        <a:xfrm>
          <a:off x="5381625" y="51725513"/>
          <a:ext cx="3829050" cy="504825"/>
          <a:chOff x="456" y="3364"/>
          <a:chExt cx="393" cy="39"/>
        </a:xfrm>
      </xdr:grpSpPr>
      <xdr:sp macro="" textlink="">
        <xdr:nvSpPr>
          <xdr:cNvPr id="26821" name="Line 197">
            <a:extLst>
              <a:ext uri="{FF2B5EF4-FFF2-40B4-BE49-F238E27FC236}">
                <a16:creationId xmlns:a16="http://schemas.microsoft.com/office/drawing/2014/main" id="{00000000-0008-0000-0200-0000C5680000}"/>
              </a:ext>
            </a:extLst>
          </xdr:cNvPr>
          <xdr:cNvSpPr>
            <a:spLocks noChangeShapeType="1"/>
          </xdr:cNvSpPr>
        </xdr:nvSpPr>
        <xdr:spPr bwMode="auto">
          <a:xfrm>
            <a:off x="456" y="3364"/>
            <a:ext cx="106" cy="16"/>
          </a:xfrm>
          <a:prstGeom prst="line">
            <a:avLst/>
          </a:prstGeom>
          <a:noFill/>
          <a:ln w="28575">
            <a:solidFill>
              <a:srgbClr val="FF6600"/>
            </a:solidFill>
            <a:round/>
            <a:headEnd/>
            <a:tailEnd/>
          </a:ln>
        </xdr:spPr>
      </xdr:sp>
      <xdr:sp macro="" textlink="">
        <xdr:nvSpPr>
          <xdr:cNvPr id="26822" name="Line 198">
            <a:extLst>
              <a:ext uri="{FF2B5EF4-FFF2-40B4-BE49-F238E27FC236}">
                <a16:creationId xmlns:a16="http://schemas.microsoft.com/office/drawing/2014/main" id="{00000000-0008-0000-0200-0000C6680000}"/>
              </a:ext>
            </a:extLst>
          </xdr:cNvPr>
          <xdr:cNvSpPr>
            <a:spLocks noChangeShapeType="1"/>
          </xdr:cNvSpPr>
        </xdr:nvSpPr>
        <xdr:spPr bwMode="auto">
          <a:xfrm>
            <a:off x="558" y="3380"/>
            <a:ext cx="291" cy="23"/>
          </a:xfrm>
          <a:prstGeom prst="line">
            <a:avLst/>
          </a:prstGeom>
          <a:noFill/>
          <a:ln w="28575">
            <a:solidFill>
              <a:srgbClr val="FF6600"/>
            </a:solidFill>
            <a:round/>
            <a:headEnd/>
            <a:tailEnd type="triangle" w="med" len="med"/>
          </a:ln>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104775</xdr:colOff>
      <xdr:row>10</xdr:row>
      <xdr:rowOff>76200</xdr:rowOff>
    </xdr:from>
    <xdr:to>
      <xdr:col>75</xdr:col>
      <xdr:colOff>95250</xdr:colOff>
      <xdr:row>37</xdr:row>
      <xdr:rowOff>19050</xdr:rowOff>
    </xdr:to>
    <xdr:grpSp>
      <xdr:nvGrpSpPr>
        <xdr:cNvPr id="22529" name="Group 1">
          <a:extLst>
            <a:ext uri="{FF2B5EF4-FFF2-40B4-BE49-F238E27FC236}">
              <a16:creationId xmlns:a16="http://schemas.microsoft.com/office/drawing/2014/main" id="{00000000-0008-0000-0300-000001580000}"/>
            </a:ext>
          </a:extLst>
        </xdr:cNvPr>
        <xdr:cNvGrpSpPr>
          <a:grpSpLocks/>
        </xdr:cNvGrpSpPr>
      </xdr:nvGrpSpPr>
      <xdr:grpSpPr bwMode="auto">
        <a:xfrm>
          <a:off x="352425" y="1790700"/>
          <a:ext cx="9039225" cy="4057650"/>
          <a:chOff x="35" y="188"/>
          <a:chExt cx="876" cy="426"/>
        </a:xfrm>
      </xdr:grpSpPr>
      <xdr:graphicFrame macro="">
        <xdr:nvGraphicFramePr>
          <xdr:cNvPr id="22530" name="Chart 2">
            <a:extLst>
              <a:ext uri="{FF2B5EF4-FFF2-40B4-BE49-F238E27FC236}">
                <a16:creationId xmlns:a16="http://schemas.microsoft.com/office/drawing/2014/main" id="{00000000-0008-0000-0300-000002580000}"/>
              </a:ext>
            </a:extLst>
          </xdr:cNvPr>
          <xdr:cNvGraphicFramePr>
            <a:graphicFrameLocks/>
          </xdr:cNvGraphicFramePr>
        </xdr:nvGraphicFramePr>
        <xdr:xfrm>
          <a:off x="35" y="188"/>
          <a:ext cx="876" cy="42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2531" name="AutoShape 3">
            <a:extLst>
              <a:ext uri="{FF2B5EF4-FFF2-40B4-BE49-F238E27FC236}">
                <a16:creationId xmlns:a16="http://schemas.microsoft.com/office/drawing/2014/main" id="{00000000-0008-0000-0300-000003580000}"/>
              </a:ext>
            </a:extLst>
          </xdr:cNvPr>
          <xdr:cNvSpPr>
            <a:spLocks noChangeArrowheads="1"/>
          </xdr:cNvSpPr>
        </xdr:nvSpPr>
        <xdr:spPr bwMode="auto">
          <a:xfrm>
            <a:off x="709" y="222"/>
            <a:ext cx="69" cy="30"/>
          </a:xfrm>
          <a:prstGeom prst="flowChartDecision">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End</a:t>
            </a:r>
          </a:p>
        </xdr:txBody>
      </xdr:sp>
      <xdr:sp macro="" textlink="">
        <xdr:nvSpPr>
          <xdr:cNvPr id="22532" name="Line 4">
            <a:extLst>
              <a:ext uri="{FF2B5EF4-FFF2-40B4-BE49-F238E27FC236}">
                <a16:creationId xmlns:a16="http://schemas.microsoft.com/office/drawing/2014/main" id="{00000000-0008-0000-0300-000004580000}"/>
              </a:ext>
            </a:extLst>
          </xdr:cNvPr>
          <xdr:cNvSpPr>
            <a:spLocks noChangeShapeType="1"/>
          </xdr:cNvSpPr>
        </xdr:nvSpPr>
        <xdr:spPr bwMode="auto">
          <a:xfrm>
            <a:off x="744" y="252"/>
            <a:ext cx="0" cy="272"/>
          </a:xfrm>
          <a:prstGeom prst="line">
            <a:avLst/>
          </a:prstGeom>
          <a:noFill/>
          <a:ln w="31750">
            <a:solidFill>
              <a:srgbClr val="000000"/>
            </a:solidFill>
            <a:round/>
            <a:headEnd/>
            <a:tailEnd/>
          </a:ln>
        </xdr:spPr>
      </xdr:sp>
      <xdr:sp macro="" textlink="">
        <xdr:nvSpPr>
          <xdr:cNvPr id="22533" name="AutoShape 5">
            <a:extLst>
              <a:ext uri="{FF2B5EF4-FFF2-40B4-BE49-F238E27FC236}">
                <a16:creationId xmlns:a16="http://schemas.microsoft.com/office/drawing/2014/main" id="{00000000-0008-0000-0300-000005580000}"/>
              </a:ext>
            </a:extLst>
          </xdr:cNvPr>
          <xdr:cNvSpPr>
            <a:spLocks noChangeArrowheads="1"/>
          </xdr:cNvSpPr>
        </xdr:nvSpPr>
        <xdr:spPr bwMode="auto">
          <a:xfrm>
            <a:off x="95" y="223"/>
            <a:ext cx="69" cy="30"/>
          </a:xfrm>
          <a:prstGeom prst="flowChartDecision">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Start</a:t>
            </a:r>
          </a:p>
        </xdr:txBody>
      </xdr:sp>
      <xdr:sp macro="" textlink="">
        <xdr:nvSpPr>
          <xdr:cNvPr id="22534" name="Line 6">
            <a:extLst>
              <a:ext uri="{FF2B5EF4-FFF2-40B4-BE49-F238E27FC236}">
                <a16:creationId xmlns:a16="http://schemas.microsoft.com/office/drawing/2014/main" id="{00000000-0008-0000-0300-000006580000}"/>
              </a:ext>
            </a:extLst>
          </xdr:cNvPr>
          <xdr:cNvSpPr>
            <a:spLocks noChangeShapeType="1"/>
          </xdr:cNvSpPr>
        </xdr:nvSpPr>
        <xdr:spPr bwMode="auto">
          <a:xfrm>
            <a:off x="129" y="252"/>
            <a:ext cx="0" cy="272"/>
          </a:xfrm>
          <a:prstGeom prst="line">
            <a:avLst/>
          </a:prstGeom>
          <a:noFill/>
          <a:ln w="31750">
            <a:solidFill>
              <a:srgbClr val="000000"/>
            </a:solidFill>
            <a:round/>
            <a:headEnd/>
            <a:tailEnd/>
          </a:ln>
        </xdr:spPr>
      </xdr:sp>
      <xdr:grpSp>
        <xdr:nvGrpSpPr>
          <xdr:cNvPr id="22535" name="Group 7">
            <a:extLst>
              <a:ext uri="{FF2B5EF4-FFF2-40B4-BE49-F238E27FC236}">
                <a16:creationId xmlns:a16="http://schemas.microsoft.com/office/drawing/2014/main" id="{00000000-0008-0000-0300-000007580000}"/>
              </a:ext>
            </a:extLst>
          </xdr:cNvPr>
          <xdr:cNvGrpSpPr>
            <a:grpSpLocks/>
          </xdr:cNvGrpSpPr>
        </xdr:nvGrpSpPr>
        <xdr:grpSpPr bwMode="auto">
          <a:xfrm>
            <a:off x="130" y="524"/>
            <a:ext cx="612" cy="79"/>
            <a:chOff x="130" y="524"/>
            <a:chExt cx="612" cy="79"/>
          </a:xfrm>
        </xdr:grpSpPr>
        <xdr:sp macro="" textlink="">
          <xdr:nvSpPr>
            <xdr:cNvPr id="22536" name="Line 8">
              <a:extLst>
                <a:ext uri="{FF2B5EF4-FFF2-40B4-BE49-F238E27FC236}">
                  <a16:creationId xmlns:a16="http://schemas.microsoft.com/office/drawing/2014/main" id="{00000000-0008-0000-0300-000008580000}"/>
                </a:ext>
              </a:extLst>
            </xdr:cNvPr>
            <xdr:cNvSpPr>
              <a:spLocks noChangeShapeType="1"/>
            </xdr:cNvSpPr>
          </xdr:nvSpPr>
          <xdr:spPr bwMode="auto">
            <a:xfrm>
              <a:off x="131" y="527"/>
              <a:ext cx="0" cy="71"/>
            </a:xfrm>
            <a:prstGeom prst="line">
              <a:avLst/>
            </a:prstGeom>
            <a:noFill/>
            <a:ln w="9525">
              <a:solidFill>
                <a:srgbClr val="000000"/>
              </a:solidFill>
              <a:round/>
              <a:headEnd/>
              <a:tailEnd/>
            </a:ln>
          </xdr:spPr>
        </xdr:sp>
        <xdr:sp macro="" textlink="">
          <xdr:nvSpPr>
            <xdr:cNvPr id="22537" name="Line 9">
              <a:extLst>
                <a:ext uri="{FF2B5EF4-FFF2-40B4-BE49-F238E27FC236}">
                  <a16:creationId xmlns:a16="http://schemas.microsoft.com/office/drawing/2014/main" id="{00000000-0008-0000-0300-000009580000}"/>
                </a:ext>
              </a:extLst>
            </xdr:cNvPr>
            <xdr:cNvSpPr>
              <a:spLocks noChangeShapeType="1"/>
            </xdr:cNvSpPr>
          </xdr:nvSpPr>
          <xdr:spPr bwMode="auto">
            <a:xfrm>
              <a:off x="259" y="526"/>
              <a:ext cx="0" cy="39"/>
            </a:xfrm>
            <a:prstGeom prst="line">
              <a:avLst/>
            </a:prstGeom>
            <a:noFill/>
            <a:ln w="9525">
              <a:solidFill>
                <a:srgbClr val="000000"/>
              </a:solidFill>
              <a:round/>
              <a:headEnd/>
              <a:tailEnd/>
            </a:ln>
          </xdr:spPr>
        </xdr:sp>
        <xdr:sp macro="" textlink="">
          <xdr:nvSpPr>
            <xdr:cNvPr id="22538" name="Line 10">
              <a:extLst>
                <a:ext uri="{FF2B5EF4-FFF2-40B4-BE49-F238E27FC236}">
                  <a16:creationId xmlns:a16="http://schemas.microsoft.com/office/drawing/2014/main" id="{00000000-0008-0000-0300-00000A580000}"/>
                </a:ext>
              </a:extLst>
            </xdr:cNvPr>
            <xdr:cNvSpPr>
              <a:spLocks noChangeShapeType="1"/>
            </xdr:cNvSpPr>
          </xdr:nvSpPr>
          <xdr:spPr bwMode="auto">
            <a:xfrm>
              <a:off x="608" y="526"/>
              <a:ext cx="0" cy="39"/>
            </a:xfrm>
            <a:prstGeom prst="line">
              <a:avLst/>
            </a:prstGeom>
            <a:noFill/>
            <a:ln w="9525">
              <a:solidFill>
                <a:srgbClr val="000000"/>
              </a:solidFill>
              <a:round/>
              <a:headEnd/>
              <a:tailEnd/>
            </a:ln>
          </xdr:spPr>
        </xdr:sp>
        <xdr:sp macro="" textlink="">
          <xdr:nvSpPr>
            <xdr:cNvPr id="22539" name="Line 11">
              <a:extLst>
                <a:ext uri="{FF2B5EF4-FFF2-40B4-BE49-F238E27FC236}">
                  <a16:creationId xmlns:a16="http://schemas.microsoft.com/office/drawing/2014/main" id="{00000000-0008-0000-0300-00000B580000}"/>
                </a:ext>
              </a:extLst>
            </xdr:cNvPr>
            <xdr:cNvSpPr>
              <a:spLocks noChangeShapeType="1"/>
            </xdr:cNvSpPr>
          </xdr:nvSpPr>
          <xdr:spPr bwMode="auto">
            <a:xfrm>
              <a:off x="742" y="524"/>
              <a:ext cx="0" cy="79"/>
            </a:xfrm>
            <a:prstGeom prst="line">
              <a:avLst/>
            </a:prstGeom>
            <a:noFill/>
            <a:ln w="9525">
              <a:solidFill>
                <a:srgbClr val="000000"/>
              </a:solidFill>
              <a:round/>
              <a:headEnd/>
              <a:tailEnd/>
            </a:ln>
          </xdr:spPr>
        </xdr:sp>
        <xdr:sp macro="" textlink="">
          <xdr:nvSpPr>
            <xdr:cNvPr id="22540" name="Text Box 12">
              <a:extLst>
                <a:ext uri="{FF2B5EF4-FFF2-40B4-BE49-F238E27FC236}">
                  <a16:creationId xmlns:a16="http://schemas.microsoft.com/office/drawing/2014/main" id="{00000000-0008-0000-0300-00000C580000}"/>
                </a:ext>
              </a:extLst>
            </xdr:cNvPr>
            <xdr:cNvSpPr txBox="1">
              <a:spLocks noChangeArrowheads="1"/>
            </xdr:cNvSpPr>
          </xdr:nvSpPr>
          <xdr:spPr bwMode="auto">
            <a:xfrm>
              <a:off x="394" y="531"/>
              <a:ext cx="77" cy="34"/>
            </a:xfrm>
            <a:prstGeom prst="rect">
              <a:avLst/>
            </a:prstGeom>
            <a:solidFill>
              <a:srgbClr val="FFFF99"/>
            </a:solid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Adjusted Period</a:t>
              </a:r>
            </a:p>
          </xdr:txBody>
        </xdr:sp>
        <xdr:sp macro="" textlink="">
          <xdr:nvSpPr>
            <xdr:cNvPr id="22541" name="Line 13">
              <a:extLst>
                <a:ext uri="{FF2B5EF4-FFF2-40B4-BE49-F238E27FC236}">
                  <a16:creationId xmlns:a16="http://schemas.microsoft.com/office/drawing/2014/main" id="{00000000-0008-0000-0300-00000D580000}"/>
                </a:ext>
              </a:extLst>
            </xdr:cNvPr>
            <xdr:cNvSpPr>
              <a:spLocks noChangeShapeType="1"/>
            </xdr:cNvSpPr>
          </xdr:nvSpPr>
          <xdr:spPr bwMode="auto">
            <a:xfrm>
              <a:off x="224" y="548"/>
              <a:ext cx="32" cy="0"/>
            </a:xfrm>
            <a:prstGeom prst="line">
              <a:avLst/>
            </a:prstGeom>
            <a:noFill/>
            <a:ln w="9525">
              <a:solidFill>
                <a:srgbClr val="000000"/>
              </a:solidFill>
              <a:round/>
              <a:headEnd/>
              <a:tailEnd type="triangle" w="med" len="med"/>
            </a:ln>
          </xdr:spPr>
        </xdr:sp>
        <xdr:sp macro="" textlink="">
          <xdr:nvSpPr>
            <xdr:cNvPr id="22542" name="Line 14">
              <a:extLst>
                <a:ext uri="{FF2B5EF4-FFF2-40B4-BE49-F238E27FC236}">
                  <a16:creationId xmlns:a16="http://schemas.microsoft.com/office/drawing/2014/main" id="{00000000-0008-0000-0300-00000E580000}"/>
                </a:ext>
              </a:extLst>
            </xdr:cNvPr>
            <xdr:cNvSpPr>
              <a:spLocks noChangeShapeType="1"/>
            </xdr:cNvSpPr>
          </xdr:nvSpPr>
          <xdr:spPr bwMode="auto">
            <a:xfrm flipH="1">
              <a:off x="130" y="548"/>
              <a:ext cx="27" cy="0"/>
            </a:xfrm>
            <a:prstGeom prst="line">
              <a:avLst/>
            </a:prstGeom>
            <a:noFill/>
            <a:ln w="9525">
              <a:solidFill>
                <a:srgbClr val="000000"/>
              </a:solidFill>
              <a:round/>
              <a:headEnd/>
              <a:tailEnd type="triangle" w="med" len="med"/>
            </a:ln>
          </xdr:spPr>
        </xdr:sp>
        <xdr:sp macro="" textlink="">
          <xdr:nvSpPr>
            <xdr:cNvPr id="22543" name="Text Box 15">
              <a:extLst>
                <a:ext uri="{FF2B5EF4-FFF2-40B4-BE49-F238E27FC236}">
                  <a16:creationId xmlns:a16="http://schemas.microsoft.com/office/drawing/2014/main" id="{00000000-0008-0000-0300-00000F580000}"/>
                </a:ext>
              </a:extLst>
            </xdr:cNvPr>
            <xdr:cNvSpPr txBox="1">
              <a:spLocks noChangeArrowheads="1"/>
            </xdr:cNvSpPr>
          </xdr:nvSpPr>
          <xdr:spPr bwMode="auto">
            <a:xfrm>
              <a:off x="155" y="532"/>
              <a:ext cx="77" cy="34"/>
            </a:xfrm>
            <a:prstGeom prst="rect">
              <a:avLst/>
            </a:prstGeom>
            <a:solidFill>
              <a:srgbClr val="FFFF99"/>
            </a:solid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Learning Period</a:t>
              </a:r>
            </a:p>
          </xdr:txBody>
        </xdr:sp>
        <xdr:sp macro="" textlink="">
          <xdr:nvSpPr>
            <xdr:cNvPr id="22544" name="Line 16">
              <a:extLst>
                <a:ext uri="{FF2B5EF4-FFF2-40B4-BE49-F238E27FC236}">
                  <a16:creationId xmlns:a16="http://schemas.microsoft.com/office/drawing/2014/main" id="{00000000-0008-0000-0300-000010580000}"/>
                </a:ext>
              </a:extLst>
            </xdr:cNvPr>
            <xdr:cNvSpPr>
              <a:spLocks noChangeShapeType="1"/>
            </xdr:cNvSpPr>
          </xdr:nvSpPr>
          <xdr:spPr bwMode="auto">
            <a:xfrm flipH="1">
              <a:off x="262" y="548"/>
              <a:ext cx="132" cy="0"/>
            </a:xfrm>
            <a:prstGeom prst="line">
              <a:avLst/>
            </a:prstGeom>
            <a:noFill/>
            <a:ln w="9525">
              <a:solidFill>
                <a:srgbClr val="000000"/>
              </a:solidFill>
              <a:round/>
              <a:headEnd/>
              <a:tailEnd type="triangle" w="med" len="med"/>
            </a:ln>
          </xdr:spPr>
        </xdr:sp>
        <xdr:sp macro="" textlink="">
          <xdr:nvSpPr>
            <xdr:cNvPr id="22545" name="Line 17">
              <a:extLst>
                <a:ext uri="{FF2B5EF4-FFF2-40B4-BE49-F238E27FC236}">
                  <a16:creationId xmlns:a16="http://schemas.microsoft.com/office/drawing/2014/main" id="{00000000-0008-0000-0300-000011580000}"/>
                </a:ext>
              </a:extLst>
            </xdr:cNvPr>
            <xdr:cNvSpPr>
              <a:spLocks noChangeShapeType="1"/>
            </xdr:cNvSpPr>
          </xdr:nvSpPr>
          <xdr:spPr bwMode="auto">
            <a:xfrm>
              <a:off x="466" y="548"/>
              <a:ext cx="141" cy="0"/>
            </a:xfrm>
            <a:prstGeom prst="line">
              <a:avLst/>
            </a:prstGeom>
            <a:noFill/>
            <a:ln w="9525">
              <a:solidFill>
                <a:srgbClr val="000000"/>
              </a:solidFill>
              <a:round/>
              <a:headEnd/>
              <a:tailEnd type="triangle" w="med" len="med"/>
            </a:ln>
          </xdr:spPr>
        </xdr:sp>
        <xdr:sp macro="" textlink="">
          <xdr:nvSpPr>
            <xdr:cNvPr id="22546" name="Line 18">
              <a:extLst>
                <a:ext uri="{FF2B5EF4-FFF2-40B4-BE49-F238E27FC236}">
                  <a16:creationId xmlns:a16="http://schemas.microsoft.com/office/drawing/2014/main" id="{00000000-0008-0000-0300-000012580000}"/>
                </a:ext>
              </a:extLst>
            </xdr:cNvPr>
            <xdr:cNvSpPr>
              <a:spLocks noChangeShapeType="1"/>
            </xdr:cNvSpPr>
          </xdr:nvSpPr>
          <xdr:spPr bwMode="auto">
            <a:xfrm>
              <a:off x="687" y="548"/>
              <a:ext cx="53" cy="0"/>
            </a:xfrm>
            <a:prstGeom prst="line">
              <a:avLst/>
            </a:prstGeom>
            <a:noFill/>
            <a:ln w="9525">
              <a:solidFill>
                <a:srgbClr val="000000"/>
              </a:solidFill>
              <a:round/>
              <a:headEnd/>
              <a:tailEnd type="triangle" w="med" len="med"/>
            </a:ln>
          </xdr:spPr>
        </xdr:sp>
        <xdr:sp macro="" textlink="">
          <xdr:nvSpPr>
            <xdr:cNvPr id="22547" name="Line 19">
              <a:extLst>
                <a:ext uri="{FF2B5EF4-FFF2-40B4-BE49-F238E27FC236}">
                  <a16:creationId xmlns:a16="http://schemas.microsoft.com/office/drawing/2014/main" id="{00000000-0008-0000-0300-000013580000}"/>
                </a:ext>
              </a:extLst>
            </xdr:cNvPr>
            <xdr:cNvSpPr>
              <a:spLocks noChangeShapeType="1"/>
            </xdr:cNvSpPr>
          </xdr:nvSpPr>
          <xdr:spPr bwMode="auto">
            <a:xfrm flipH="1">
              <a:off x="607" y="548"/>
              <a:ext cx="41" cy="0"/>
            </a:xfrm>
            <a:prstGeom prst="line">
              <a:avLst/>
            </a:prstGeom>
            <a:noFill/>
            <a:ln w="9525">
              <a:solidFill>
                <a:srgbClr val="000000"/>
              </a:solidFill>
              <a:round/>
              <a:headEnd/>
              <a:tailEnd type="triangle" w="med" len="med"/>
            </a:ln>
          </xdr:spPr>
        </xdr:sp>
        <xdr:sp macro="" textlink="">
          <xdr:nvSpPr>
            <xdr:cNvPr id="22548" name="Text Box 20">
              <a:extLst>
                <a:ext uri="{FF2B5EF4-FFF2-40B4-BE49-F238E27FC236}">
                  <a16:creationId xmlns:a16="http://schemas.microsoft.com/office/drawing/2014/main" id="{00000000-0008-0000-0300-000014580000}"/>
                </a:ext>
              </a:extLst>
            </xdr:cNvPr>
            <xdr:cNvSpPr txBox="1">
              <a:spLocks noChangeArrowheads="1"/>
            </xdr:cNvSpPr>
          </xdr:nvSpPr>
          <xdr:spPr bwMode="auto">
            <a:xfrm>
              <a:off x="643" y="532"/>
              <a:ext cx="67" cy="34"/>
            </a:xfrm>
            <a:prstGeom prst="rect">
              <a:avLst/>
            </a:prstGeom>
            <a:solidFill>
              <a:srgbClr val="FFFF99"/>
            </a:solid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Fixing Period</a:t>
              </a:r>
            </a:p>
          </xdr:txBody>
        </xdr:sp>
        <xdr:sp macro="" textlink="">
          <xdr:nvSpPr>
            <xdr:cNvPr id="22549" name="Line 21">
              <a:extLst>
                <a:ext uri="{FF2B5EF4-FFF2-40B4-BE49-F238E27FC236}">
                  <a16:creationId xmlns:a16="http://schemas.microsoft.com/office/drawing/2014/main" id="{00000000-0008-0000-0300-000015580000}"/>
                </a:ext>
              </a:extLst>
            </xdr:cNvPr>
            <xdr:cNvSpPr>
              <a:spLocks noChangeShapeType="1"/>
            </xdr:cNvSpPr>
          </xdr:nvSpPr>
          <xdr:spPr bwMode="auto">
            <a:xfrm>
              <a:off x="435" y="569"/>
              <a:ext cx="0" cy="32"/>
            </a:xfrm>
            <a:prstGeom prst="line">
              <a:avLst/>
            </a:prstGeom>
            <a:noFill/>
            <a:ln w="9525">
              <a:solidFill>
                <a:srgbClr val="000000"/>
              </a:solidFill>
              <a:round/>
              <a:headEnd/>
              <a:tailEnd/>
            </a:ln>
          </xdr:spPr>
        </xdr:sp>
        <xdr:sp macro="" textlink="">
          <xdr:nvSpPr>
            <xdr:cNvPr id="22550" name="Text Box 22">
              <a:extLst>
                <a:ext uri="{FF2B5EF4-FFF2-40B4-BE49-F238E27FC236}">
                  <a16:creationId xmlns:a16="http://schemas.microsoft.com/office/drawing/2014/main" id="{00000000-0008-0000-0300-000016580000}"/>
                </a:ext>
              </a:extLst>
            </xdr:cNvPr>
            <xdr:cNvSpPr txBox="1">
              <a:spLocks noChangeArrowheads="1"/>
            </xdr:cNvSpPr>
          </xdr:nvSpPr>
          <xdr:spPr bwMode="auto">
            <a:xfrm>
              <a:off x="245" y="566"/>
              <a:ext cx="77" cy="34"/>
            </a:xfrm>
            <a:prstGeom prst="rect">
              <a:avLst/>
            </a:prstGeom>
            <a:solidFill>
              <a:srgbClr val="FFFF99"/>
            </a:solid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50% Period of time</a:t>
              </a:r>
            </a:p>
          </xdr:txBody>
        </xdr:sp>
        <xdr:sp macro="" textlink="">
          <xdr:nvSpPr>
            <xdr:cNvPr id="22551" name="Line 23">
              <a:extLst>
                <a:ext uri="{FF2B5EF4-FFF2-40B4-BE49-F238E27FC236}">
                  <a16:creationId xmlns:a16="http://schemas.microsoft.com/office/drawing/2014/main" id="{00000000-0008-0000-0300-000017580000}"/>
                </a:ext>
              </a:extLst>
            </xdr:cNvPr>
            <xdr:cNvSpPr>
              <a:spLocks noChangeShapeType="1"/>
            </xdr:cNvSpPr>
          </xdr:nvSpPr>
          <xdr:spPr bwMode="auto">
            <a:xfrm flipH="1">
              <a:off x="132" y="579"/>
              <a:ext cx="104" cy="0"/>
            </a:xfrm>
            <a:prstGeom prst="line">
              <a:avLst/>
            </a:prstGeom>
            <a:noFill/>
            <a:ln w="9525">
              <a:solidFill>
                <a:srgbClr val="000000"/>
              </a:solidFill>
              <a:round/>
              <a:headEnd/>
              <a:tailEnd type="triangle" w="med" len="med"/>
            </a:ln>
          </xdr:spPr>
        </xdr:sp>
        <xdr:sp macro="" textlink="">
          <xdr:nvSpPr>
            <xdr:cNvPr id="22552" name="Line 24">
              <a:extLst>
                <a:ext uri="{FF2B5EF4-FFF2-40B4-BE49-F238E27FC236}">
                  <a16:creationId xmlns:a16="http://schemas.microsoft.com/office/drawing/2014/main" id="{00000000-0008-0000-0300-000018580000}"/>
                </a:ext>
              </a:extLst>
            </xdr:cNvPr>
            <xdr:cNvSpPr>
              <a:spLocks noChangeShapeType="1"/>
            </xdr:cNvSpPr>
          </xdr:nvSpPr>
          <xdr:spPr bwMode="auto">
            <a:xfrm>
              <a:off x="324" y="579"/>
              <a:ext cx="109" cy="0"/>
            </a:xfrm>
            <a:prstGeom prst="line">
              <a:avLst/>
            </a:prstGeom>
            <a:noFill/>
            <a:ln w="9525">
              <a:solidFill>
                <a:srgbClr val="000000"/>
              </a:solidFill>
              <a:round/>
              <a:headEnd/>
              <a:tailEnd type="triangle" w="med" len="med"/>
            </a:ln>
          </xdr:spPr>
        </xdr:sp>
        <xdr:sp macro="" textlink="">
          <xdr:nvSpPr>
            <xdr:cNvPr id="22553" name="Text Box 25">
              <a:extLst>
                <a:ext uri="{FF2B5EF4-FFF2-40B4-BE49-F238E27FC236}">
                  <a16:creationId xmlns:a16="http://schemas.microsoft.com/office/drawing/2014/main" id="{00000000-0008-0000-0300-000019580000}"/>
                </a:ext>
              </a:extLst>
            </xdr:cNvPr>
            <xdr:cNvSpPr txBox="1">
              <a:spLocks noChangeArrowheads="1"/>
            </xdr:cNvSpPr>
          </xdr:nvSpPr>
          <xdr:spPr bwMode="auto">
            <a:xfrm>
              <a:off x="551" y="568"/>
              <a:ext cx="77" cy="34"/>
            </a:xfrm>
            <a:prstGeom prst="rect">
              <a:avLst/>
            </a:prstGeom>
            <a:solidFill>
              <a:srgbClr val="FFFF99"/>
            </a:solid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50% Period of time</a:t>
              </a:r>
            </a:p>
          </xdr:txBody>
        </xdr:sp>
        <xdr:sp macro="" textlink="">
          <xdr:nvSpPr>
            <xdr:cNvPr id="22554" name="Line 26">
              <a:extLst>
                <a:ext uri="{FF2B5EF4-FFF2-40B4-BE49-F238E27FC236}">
                  <a16:creationId xmlns:a16="http://schemas.microsoft.com/office/drawing/2014/main" id="{00000000-0008-0000-0300-00001A580000}"/>
                </a:ext>
              </a:extLst>
            </xdr:cNvPr>
            <xdr:cNvSpPr>
              <a:spLocks noChangeShapeType="1"/>
            </xdr:cNvSpPr>
          </xdr:nvSpPr>
          <xdr:spPr bwMode="auto">
            <a:xfrm flipH="1">
              <a:off x="440" y="579"/>
              <a:ext cx="103" cy="0"/>
            </a:xfrm>
            <a:prstGeom prst="line">
              <a:avLst/>
            </a:prstGeom>
            <a:noFill/>
            <a:ln w="9525">
              <a:solidFill>
                <a:srgbClr val="000000"/>
              </a:solidFill>
              <a:round/>
              <a:headEnd/>
              <a:tailEnd type="triangle" w="med" len="med"/>
            </a:ln>
          </xdr:spPr>
        </xdr:sp>
        <xdr:sp macro="" textlink="">
          <xdr:nvSpPr>
            <xdr:cNvPr id="22555" name="Line 27">
              <a:extLst>
                <a:ext uri="{FF2B5EF4-FFF2-40B4-BE49-F238E27FC236}">
                  <a16:creationId xmlns:a16="http://schemas.microsoft.com/office/drawing/2014/main" id="{00000000-0008-0000-0300-00001B580000}"/>
                </a:ext>
              </a:extLst>
            </xdr:cNvPr>
            <xdr:cNvSpPr>
              <a:spLocks noChangeShapeType="1"/>
            </xdr:cNvSpPr>
          </xdr:nvSpPr>
          <xdr:spPr bwMode="auto">
            <a:xfrm>
              <a:off x="632" y="579"/>
              <a:ext cx="108" cy="0"/>
            </a:xfrm>
            <a:prstGeom prst="line">
              <a:avLst/>
            </a:prstGeom>
            <a:noFill/>
            <a:ln w="9525">
              <a:solidFill>
                <a:srgbClr val="000000"/>
              </a:solidFill>
              <a:round/>
              <a:headEnd/>
              <a:tailEnd type="triangle" w="med" len="med"/>
            </a:ln>
          </xdr:spPr>
        </xdr:sp>
      </xdr:grpSp>
    </xdr:grpSp>
    <xdr:clientData/>
  </xdr:twoCellAnchor>
  <xdr:twoCellAnchor>
    <xdr:from>
      <xdr:col>21</xdr:col>
      <xdr:colOff>47625</xdr:colOff>
      <xdr:row>37</xdr:row>
      <xdr:rowOff>57150</xdr:rowOff>
    </xdr:from>
    <xdr:to>
      <xdr:col>55</xdr:col>
      <xdr:colOff>95250</xdr:colOff>
      <xdr:row>38</xdr:row>
      <xdr:rowOff>76200</xdr:rowOff>
    </xdr:to>
    <xdr:sp macro="" textlink="">
      <xdr:nvSpPr>
        <xdr:cNvPr id="22556" name="Text Box 28">
          <a:extLst>
            <a:ext uri="{FF2B5EF4-FFF2-40B4-BE49-F238E27FC236}">
              <a16:creationId xmlns:a16="http://schemas.microsoft.com/office/drawing/2014/main" id="{00000000-0008-0000-0300-00001C580000}"/>
            </a:ext>
          </a:extLst>
        </xdr:cNvPr>
        <xdr:cNvSpPr txBox="1">
          <a:spLocks noChangeArrowheads="1"/>
        </xdr:cNvSpPr>
      </xdr:nvSpPr>
      <xdr:spPr bwMode="auto">
        <a:xfrm>
          <a:off x="2466975" y="5886450"/>
          <a:ext cx="3924300" cy="171450"/>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Figure 1: Ideal Incident Detected Curve VS Planned Test Cases Curve</a:t>
          </a:r>
        </a:p>
      </xdr:txBody>
    </xdr:sp>
    <xdr:clientData/>
  </xdr:twoCellAnchor>
  <xdr:twoCellAnchor>
    <xdr:from>
      <xdr:col>0</xdr:col>
      <xdr:colOff>19050</xdr:colOff>
      <xdr:row>0</xdr:row>
      <xdr:rowOff>19050</xdr:rowOff>
    </xdr:from>
    <xdr:to>
      <xdr:col>78</xdr:col>
      <xdr:colOff>47625</xdr:colOff>
      <xdr:row>3</xdr:row>
      <xdr:rowOff>47625</xdr:rowOff>
    </xdr:to>
    <xdr:grpSp>
      <xdr:nvGrpSpPr>
        <xdr:cNvPr id="22557" name="Group 29">
          <a:extLst>
            <a:ext uri="{FF2B5EF4-FFF2-40B4-BE49-F238E27FC236}">
              <a16:creationId xmlns:a16="http://schemas.microsoft.com/office/drawing/2014/main" id="{00000000-0008-0000-0300-00001D580000}"/>
            </a:ext>
          </a:extLst>
        </xdr:cNvPr>
        <xdr:cNvGrpSpPr>
          <a:grpSpLocks/>
        </xdr:cNvGrpSpPr>
      </xdr:nvGrpSpPr>
      <xdr:grpSpPr bwMode="auto">
        <a:xfrm>
          <a:off x="19050" y="19050"/>
          <a:ext cx="9696450" cy="485775"/>
          <a:chOff x="6" y="8"/>
          <a:chExt cx="1000" cy="57"/>
        </a:xfrm>
      </xdr:grpSpPr>
      <xdr:sp macro="" textlink="">
        <xdr:nvSpPr>
          <xdr:cNvPr id="22558" name="Text Box 30">
            <a:extLst>
              <a:ext uri="{FF2B5EF4-FFF2-40B4-BE49-F238E27FC236}">
                <a16:creationId xmlns:a16="http://schemas.microsoft.com/office/drawing/2014/main" id="{00000000-0008-0000-0300-00001E580000}"/>
              </a:ext>
            </a:extLst>
          </xdr:cNvPr>
          <xdr:cNvSpPr txBox="1">
            <a:spLocks noChangeArrowheads="1"/>
          </xdr:cNvSpPr>
        </xdr:nvSpPr>
        <xdr:spPr bwMode="auto">
          <a:xfrm>
            <a:off x="6" y="8"/>
            <a:ext cx="60" cy="21"/>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Phase</a:t>
            </a:r>
          </a:p>
        </xdr:txBody>
      </xdr:sp>
      <xdr:sp macro="" textlink="">
        <xdr:nvSpPr>
          <xdr:cNvPr id="22559" name="Text Box 31">
            <a:extLst>
              <a:ext uri="{FF2B5EF4-FFF2-40B4-BE49-F238E27FC236}">
                <a16:creationId xmlns:a16="http://schemas.microsoft.com/office/drawing/2014/main" id="{00000000-0008-0000-0300-00001F580000}"/>
              </a:ext>
            </a:extLst>
          </xdr:cNvPr>
          <xdr:cNvSpPr txBox="1">
            <a:spLocks noChangeArrowheads="1"/>
          </xdr:cNvSpPr>
        </xdr:nvSpPr>
        <xdr:spPr bwMode="auto">
          <a:xfrm>
            <a:off x="6" y="27"/>
            <a:ext cx="121" cy="20"/>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Block Name</a:t>
            </a:r>
          </a:p>
        </xdr:txBody>
      </xdr:sp>
      <xdr:sp macro="" textlink="">
        <xdr:nvSpPr>
          <xdr:cNvPr id="22560" name="Text Box 32">
            <a:extLst>
              <a:ext uri="{FF2B5EF4-FFF2-40B4-BE49-F238E27FC236}">
                <a16:creationId xmlns:a16="http://schemas.microsoft.com/office/drawing/2014/main" id="{00000000-0008-0000-0300-000020580000}"/>
              </a:ext>
            </a:extLst>
          </xdr:cNvPr>
          <xdr:cNvSpPr txBox="1">
            <a:spLocks noChangeArrowheads="1"/>
          </xdr:cNvSpPr>
        </xdr:nvSpPr>
        <xdr:spPr bwMode="auto">
          <a:xfrm>
            <a:off x="6" y="45"/>
            <a:ext cx="121" cy="20"/>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Document Name</a:t>
            </a:r>
          </a:p>
        </xdr:txBody>
      </xdr:sp>
      <xdr:sp macro="" textlink="">
        <xdr:nvSpPr>
          <xdr:cNvPr id="22561" name="Text Box 33">
            <a:extLst>
              <a:ext uri="{FF2B5EF4-FFF2-40B4-BE49-F238E27FC236}">
                <a16:creationId xmlns:a16="http://schemas.microsoft.com/office/drawing/2014/main" id="{00000000-0008-0000-0300-000021580000}"/>
              </a:ext>
            </a:extLst>
          </xdr:cNvPr>
          <xdr:cNvSpPr txBox="1">
            <a:spLocks noChangeArrowheads="1"/>
          </xdr:cNvSpPr>
        </xdr:nvSpPr>
        <xdr:spPr bwMode="auto">
          <a:xfrm>
            <a:off x="66" y="8"/>
            <a:ext cx="61" cy="20"/>
          </a:xfrm>
          <a:prstGeom prst="rect">
            <a:avLst/>
          </a:prstGeom>
          <a:solidFill>
            <a:srgbClr val="FFFFFF"/>
          </a:solidFill>
          <a:ln w="9525">
            <a:solidFill>
              <a:srgbClr val="000000"/>
            </a:solidFill>
            <a:miter lim="800000"/>
            <a:headEnd/>
            <a:tailEnd/>
          </a:ln>
        </xdr:spPr>
      </xdr:sp>
      <xdr:sp macro="" textlink="">
        <xdr:nvSpPr>
          <xdr:cNvPr id="22562" name="Text Box 34">
            <a:extLst>
              <a:ext uri="{FF2B5EF4-FFF2-40B4-BE49-F238E27FC236}">
                <a16:creationId xmlns:a16="http://schemas.microsoft.com/office/drawing/2014/main" id="{00000000-0008-0000-0300-000022580000}"/>
              </a:ext>
            </a:extLst>
          </xdr:cNvPr>
          <xdr:cNvSpPr txBox="1">
            <a:spLocks noChangeArrowheads="1"/>
          </xdr:cNvSpPr>
        </xdr:nvSpPr>
        <xdr:spPr bwMode="auto">
          <a:xfrm>
            <a:off x="127" y="28"/>
            <a:ext cx="229" cy="18"/>
          </a:xfrm>
          <a:prstGeom prst="rect">
            <a:avLst/>
          </a:prstGeom>
          <a:solidFill>
            <a:srgbClr val="FFFFFF"/>
          </a:solidFill>
          <a:ln w="9525">
            <a:solidFill>
              <a:srgbClr val="000000"/>
            </a:solidFill>
            <a:miter lim="800000"/>
            <a:headEnd/>
            <a:tailEnd/>
          </a:ln>
        </xdr:spPr>
      </xdr:sp>
      <xdr:sp macro="" textlink="">
        <xdr:nvSpPr>
          <xdr:cNvPr id="22563" name="Text Box 35">
            <a:extLst>
              <a:ext uri="{FF2B5EF4-FFF2-40B4-BE49-F238E27FC236}">
                <a16:creationId xmlns:a16="http://schemas.microsoft.com/office/drawing/2014/main" id="{00000000-0008-0000-0300-000023580000}"/>
              </a:ext>
            </a:extLst>
          </xdr:cNvPr>
          <xdr:cNvSpPr txBox="1">
            <a:spLocks noChangeArrowheads="1"/>
          </xdr:cNvSpPr>
        </xdr:nvSpPr>
        <xdr:spPr bwMode="auto">
          <a:xfrm>
            <a:off x="127" y="46"/>
            <a:ext cx="229" cy="19"/>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PU Weekly Report</a:t>
            </a:r>
          </a:p>
        </xdr:txBody>
      </xdr:sp>
      <xdr:sp macro="" textlink="">
        <xdr:nvSpPr>
          <xdr:cNvPr id="22564" name="Text Box 36">
            <a:extLst>
              <a:ext uri="{FF2B5EF4-FFF2-40B4-BE49-F238E27FC236}">
                <a16:creationId xmlns:a16="http://schemas.microsoft.com/office/drawing/2014/main" id="{00000000-0008-0000-0300-000024580000}"/>
              </a:ext>
            </a:extLst>
          </xdr:cNvPr>
          <xdr:cNvSpPr txBox="1">
            <a:spLocks noChangeArrowheads="1"/>
          </xdr:cNvSpPr>
        </xdr:nvSpPr>
        <xdr:spPr bwMode="auto">
          <a:xfrm>
            <a:off x="127" y="8"/>
            <a:ext cx="98" cy="20"/>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Project Name</a:t>
            </a:r>
          </a:p>
        </xdr:txBody>
      </xdr:sp>
      <xdr:sp macro="" textlink="">
        <xdr:nvSpPr>
          <xdr:cNvPr id="22565" name="Text Box 37">
            <a:extLst>
              <a:ext uri="{FF2B5EF4-FFF2-40B4-BE49-F238E27FC236}">
                <a16:creationId xmlns:a16="http://schemas.microsoft.com/office/drawing/2014/main" id="{00000000-0008-0000-0300-000025580000}"/>
              </a:ext>
            </a:extLst>
          </xdr:cNvPr>
          <xdr:cNvSpPr txBox="1">
            <a:spLocks noChangeArrowheads="1"/>
          </xdr:cNvSpPr>
        </xdr:nvSpPr>
        <xdr:spPr bwMode="auto">
          <a:xfrm>
            <a:off x="225" y="8"/>
            <a:ext cx="650" cy="2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TMAP Standard</a:t>
            </a:r>
          </a:p>
        </xdr:txBody>
      </xdr:sp>
      <xdr:sp macro="" textlink="">
        <xdr:nvSpPr>
          <xdr:cNvPr id="22566" name="Text Box 38">
            <a:extLst>
              <a:ext uri="{FF2B5EF4-FFF2-40B4-BE49-F238E27FC236}">
                <a16:creationId xmlns:a16="http://schemas.microsoft.com/office/drawing/2014/main" id="{00000000-0008-0000-0300-000026580000}"/>
              </a:ext>
            </a:extLst>
          </xdr:cNvPr>
          <xdr:cNvSpPr txBox="1">
            <a:spLocks noChangeArrowheads="1"/>
          </xdr:cNvSpPr>
        </xdr:nvSpPr>
        <xdr:spPr bwMode="auto">
          <a:xfrm>
            <a:off x="356" y="28"/>
            <a:ext cx="101" cy="19"/>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Function Name</a:t>
            </a:r>
          </a:p>
        </xdr:txBody>
      </xdr:sp>
      <xdr:sp macro="" textlink="">
        <xdr:nvSpPr>
          <xdr:cNvPr id="22567" name="Text Box 39">
            <a:extLst>
              <a:ext uri="{FF2B5EF4-FFF2-40B4-BE49-F238E27FC236}">
                <a16:creationId xmlns:a16="http://schemas.microsoft.com/office/drawing/2014/main" id="{00000000-0008-0000-0300-000027580000}"/>
              </a:ext>
            </a:extLst>
          </xdr:cNvPr>
          <xdr:cNvSpPr txBox="1">
            <a:spLocks noChangeArrowheads="1"/>
          </xdr:cNvSpPr>
        </xdr:nvSpPr>
        <xdr:spPr bwMode="auto">
          <a:xfrm>
            <a:off x="356" y="46"/>
            <a:ext cx="101" cy="19"/>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Title</a:t>
            </a:r>
          </a:p>
        </xdr:txBody>
      </xdr:sp>
      <xdr:sp macro="" textlink="">
        <xdr:nvSpPr>
          <xdr:cNvPr id="22568" name="Text Box 40">
            <a:extLst>
              <a:ext uri="{FF2B5EF4-FFF2-40B4-BE49-F238E27FC236}">
                <a16:creationId xmlns:a16="http://schemas.microsoft.com/office/drawing/2014/main" id="{00000000-0008-0000-0300-000028580000}"/>
              </a:ext>
            </a:extLst>
          </xdr:cNvPr>
          <xdr:cNvSpPr txBox="1">
            <a:spLocks noChangeArrowheads="1"/>
          </xdr:cNvSpPr>
        </xdr:nvSpPr>
        <xdr:spPr bwMode="auto">
          <a:xfrm>
            <a:off x="457" y="28"/>
            <a:ext cx="269" cy="19"/>
          </a:xfrm>
          <a:prstGeom prst="rect">
            <a:avLst/>
          </a:prstGeom>
          <a:solidFill>
            <a:srgbClr val="FFFFFF"/>
          </a:solidFill>
          <a:ln w="9525">
            <a:solidFill>
              <a:srgbClr val="000000"/>
            </a:solidFill>
            <a:miter lim="800000"/>
            <a:headEnd/>
            <a:tailEnd/>
          </a:ln>
        </xdr:spPr>
      </xdr:sp>
      <xdr:sp macro="" textlink="">
        <xdr:nvSpPr>
          <xdr:cNvPr id="22569" name="Text Box 41">
            <a:extLst>
              <a:ext uri="{FF2B5EF4-FFF2-40B4-BE49-F238E27FC236}">
                <a16:creationId xmlns:a16="http://schemas.microsoft.com/office/drawing/2014/main" id="{00000000-0008-0000-0300-000029580000}"/>
              </a:ext>
            </a:extLst>
          </xdr:cNvPr>
          <xdr:cNvSpPr txBox="1">
            <a:spLocks noChangeArrowheads="1"/>
          </xdr:cNvSpPr>
        </xdr:nvSpPr>
        <xdr:spPr bwMode="auto">
          <a:xfrm>
            <a:off x="457" y="46"/>
            <a:ext cx="269" cy="19"/>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PU Weekly Report Guideline</a:t>
            </a:r>
          </a:p>
        </xdr:txBody>
      </xdr:sp>
      <xdr:sp macro="" textlink="">
        <xdr:nvSpPr>
          <xdr:cNvPr id="22570" name="Text Box 42">
            <a:extLst>
              <a:ext uri="{FF2B5EF4-FFF2-40B4-BE49-F238E27FC236}">
                <a16:creationId xmlns:a16="http://schemas.microsoft.com/office/drawing/2014/main" id="{00000000-0008-0000-0300-00002A580000}"/>
              </a:ext>
            </a:extLst>
          </xdr:cNvPr>
          <xdr:cNvSpPr txBox="1">
            <a:spLocks noChangeArrowheads="1"/>
          </xdr:cNvSpPr>
        </xdr:nvSpPr>
        <xdr:spPr bwMode="auto">
          <a:xfrm>
            <a:off x="787" y="28"/>
            <a:ext cx="81" cy="18"/>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23/6/2006</a:t>
            </a:r>
          </a:p>
        </xdr:txBody>
      </xdr:sp>
      <xdr:sp macro="" textlink="">
        <xdr:nvSpPr>
          <xdr:cNvPr id="22571" name="Text Box 43">
            <a:extLst>
              <a:ext uri="{FF2B5EF4-FFF2-40B4-BE49-F238E27FC236}">
                <a16:creationId xmlns:a16="http://schemas.microsoft.com/office/drawing/2014/main" id="{00000000-0008-0000-0300-00002B580000}"/>
              </a:ext>
            </a:extLst>
          </xdr:cNvPr>
          <xdr:cNvSpPr txBox="1">
            <a:spLocks noChangeArrowheads="1"/>
          </xdr:cNvSpPr>
        </xdr:nvSpPr>
        <xdr:spPr bwMode="auto">
          <a:xfrm>
            <a:off x="726" y="28"/>
            <a:ext cx="61" cy="20"/>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Created</a:t>
            </a:r>
          </a:p>
        </xdr:txBody>
      </xdr:sp>
      <xdr:sp macro="" textlink="">
        <xdr:nvSpPr>
          <xdr:cNvPr id="22572" name="Text Box 44">
            <a:extLst>
              <a:ext uri="{FF2B5EF4-FFF2-40B4-BE49-F238E27FC236}">
                <a16:creationId xmlns:a16="http://schemas.microsoft.com/office/drawing/2014/main" id="{00000000-0008-0000-0300-00002C580000}"/>
              </a:ext>
            </a:extLst>
          </xdr:cNvPr>
          <xdr:cNvSpPr txBox="1">
            <a:spLocks noChangeArrowheads="1"/>
          </xdr:cNvSpPr>
        </xdr:nvSpPr>
        <xdr:spPr bwMode="auto">
          <a:xfrm>
            <a:off x="726" y="45"/>
            <a:ext cx="61" cy="20"/>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Updated</a:t>
            </a:r>
          </a:p>
        </xdr:txBody>
      </xdr:sp>
      <xdr:sp macro="" textlink="">
        <xdr:nvSpPr>
          <xdr:cNvPr id="22573" name="Text Box 45">
            <a:extLst>
              <a:ext uri="{FF2B5EF4-FFF2-40B4-BE49-F238E27FC236}">
                <a16:creationId xmlns:a16="http://schemas.microsoft.com/office/drawing/2014/main" id="{00000000-0008-0000-0300-00002D580000}"/>
              </a:ext>
            </a:extLst>
          </xdr:cNvPr>
          <xdr:cNvSpPr txBox="1">
            <a:spLocks noChangeArrowheads="1"/>
          </xdr:cNvSpPr>
        </xdr:nvSpPr>
        <xdr:spPr bwMode="auto">
          <a:xfrm>
            <a:off x="787" y="46"/>
            <a:ext cx="81" cy="19"/>
          </a:xfrm>
          <a:prstGeom prst="rect">
            <a:avLst/>
          </a:prstGeom>
          <a:solidFill>
            <a:srgbClr val="FFFFFF"/>
          </a:solidFill>
          <a:ln w="9525">
            <a:solidFill>
              <a:srgbClr val="000000"/>
            </a:solidFill>
            <a:miter lim="800000"/>
            <a:headEnd/>
            <a:tailEnd/>
          </a:ln>
        </xdr:spPr>
      </xdr:sp>
      <xdr:sp macro="" textlink="">
        <xdr:nvSpPr>
          <xdr:cNvPr id="22574" name="Text Box 46">
            <a:extLst>
              <a:ext uri="{FF2B5EF4-FFF2-40B4-BE49-F238E27FC236}">
                <a16:creationId xmlns:a16="http://schemas.microsoft.com/office/drawing/2014/main" id="{00000000-0008-0000-0300-00002E580000}"/>
              </a:ext>
            </a:extLst>
          </xdr:cNvPr>
          <xdr:cNvSpPr txBox="1">
            <a:spLocks noChangeArrowheads="1"/>
          </xdr:cNvSpPr>
        </xdr:nvSpPr>
        <xdr:spPr bwMode="auto">
          <a:xfrm>
            <a:off x="874" y="8"/>
            <a:ext cx="55" cy="21"/>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Page</a:t>
            </a:r>
          </a:p>
        </xdr:txBody>
      </xdr:sp>
      <xdr:sp macro="" textlink="">
        <xdr:nvSpPr>
          <xdr:cNvPr id="22575" name="Text Box 47">
            <a:extLst>
              <a:ext uri="{FF2B5EF4-FFF2-40B4-BE49-F238E27FC236}">
                <a16:creationId xmlns:a16="http://schemas.microsoft.com/office/drawing/2014/main" id="{00000000-0008-0000-0300-00002F580000}"/>
              </a:ext>
            </a:extLst>
          </xdr:cNvPr>
          <xdr:cNvSpPr txBox="1">
            <a:spLocks noChangeArrowheads="1"/>
          </xdr:cNvSpPr>
        </xdr:nvSpPr>
        <xdr:spPr bwMode="auto">
          <a:xfrm>
            <a:off x="868" y="28"/>
            <a:ext cx="61" cy="19"/>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By</a:t>
            </a:r>
          </a:p>
        </xdr:txBody>
      </xdr:sp>
      <xdr:sp macro="" textlink="">
        <xdr:nvSpPr>
          <xdr:cNvPr id="22576" name="Text Box 48">
            <a:extLst>
              <a:ext uri="{FF2B5EF4-FFF2-40B4-BE49-F238E27FC236}">
                <a16:creationId xmlns:a16="http://schemas.microsoft.com/office/drawing/2014/main" id="{00000000-0008-0000-0300-000030580000}"/>
              </a:ext>
            </a:extLst>
          </xdr:cNvPr>
          <xdr:cNvSpPr txBox="1">
            <a:spLocks noChangeArrowheads="1"/>
          </xdr:cNvSpPr>
        </xdr:nvSpPr>
        <xdr:spPr bwMode="auto">
          <a:xfrm>
            <a:off x="868" y="46"/>
            <a:ext cx="61" cy="19"/>
          </a:xfrm>
          <a:prstGeom prst="rect">
            <a:avLst/>
          </a:prstGeom>
          <a:solidFill>
            <a:srgbClr val="C0C0C0"/>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By</a:t>
            </a:r>
          </a:p>
        </xdr:txBody>
      </xdr:sp>
      <xdr:sp macro="" textlink="">
        <xdr:nvSpPr>
          <xdr:cNvPr id="22577" name="Text Box 49">
            <a:extLst>
              <a:ext uri="{FF2B5EF4-FFF2-40B4-BE49-F238E27FC236}">
                <a16:creationId xmlns:a16="http://schemas.microsoft.com/office/drawing/2014/main" id="{00000000-0008-0000-0300-000031580000}"/>
              </a:ext>
            </a:extLst>
          </xdr:cNvPr>
          <xdr:cNvSpPr txBox="1">
            <a:spLocks noChangeArrowheads="1"/>
          </xdr:cNvSpPr>
        </xdr:nvSpPr>
        <xdr:spPr bwMode="auto">
          <a:xfrm>
            <a:off x="929" y="8"/>
            <a:ext cx="77" cy="20"/>
          </a:xfrm>
          <a:prstGeom prst="rect">
            <a:avLst/>
          </a:prstGeom>
          <a:solidFill>
            <a:srgbClr val="FFFFFF"/>
          </a:solidFill>
          <a:ln w="9525">
            <a:solidFill>
              <a:srgbClr val="000000"/>
            </a:solidFill>
            <a:miter lim="800000"/>
            <a:headEnd/>
            <a:tailEnd/>
          </a:ln>
        </xdr:spPr>
      </xdr:sp>
      <xdr:sp macro="" textlink="">
        <xdr:nvSpPr>
          <xdr:cNvPr id="22578" name="Text Box 50">
            <a:extLst>
              <a:ext uri="{FF2B5EF4-FFF2-40B4-BE49-F238E27FC236}">
                <a16:creationId xmlns:a16="http://schemas.microsoft.com/office/drawing/2014/main" id="{00000000-0008-0000-0300-000032580000}"/>
              </a:ext>
            </a:extLst>
          </xdr:cNvPr>
          <xdr:cNvSpPr txBox="1">
            <a:spLocks noChangeArrowheads="1"/>
          </xdr:cNvSpPr>
        </xdr:nvSpPr>
        <xdr:spPr bwMode="auto">
          <a:xfrm>
            <a:off x="929" y="27"/>
            <a:ext cx="77" cy="2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Rujipun</a:t>
            </a:r>
          </a:p>
        </xdr:txBody>
      </xdr:sp>
      <xdr:sp macro="" textlink="">
        <xdr:nvSpPr>
          <xdr:cNvPr id="22579" name="Text Box 51">
            <a:extLst>
              <a:ext uri="{FF2B5EF4-FFF2-40B4-BE49-F238E27FC236}">
                <a16:creationId xmlns:a16="http://schemas.microsoft.com/office/drawing/2014/main" id="{00000000-0008-0000-0300-000033580000}"/>
              </a:ext>
            </a:extLst>
          </xdr:cNvPr>
          <xdr:cNvSpPr txBox="1">
            <a:spLocks noChangeArrowheads="1"/>
          </xdr:cNvSpPr>
        </xdr:nvSpPr>
        <xdr:spPr bwMode="auto">
          <a:xfrm>
            <a:off x="929" y="45"/>
            <a:ext cx="77" cy="20"/>
          </a:xfrm>
          <a:prstGeom prst="rect">
            <a:avLst/>
          </a:prstGeom>
          <a:solidFill>
            <a:srgbClr val="FFFFFF"/>
          </a:solidFill>
          <a:ln w="9525">
            <a:solidFill>
              <a:srgbClr val="000000"/>
            </a:solidFill>
            <a:miter lim="800000"/>
            <a:headEnd/>
            <a:tailEnd/>
          </a:ln>
        </xdr:spPr>
      </xdr:sp>
    </xdr:grpSp>
    <xdr:clientData/>
  </xdr:twoCellAnchor>
  <xdr:twoCellAnchor>
    <xdr:from>
      <xdr:col>2</xdr:col>
      <xdr:colOff>57150</xdr:colOff>
      <xdr:row>50</xdr:row>
      <xdr:rowOff>114300</xdr:rowOff>
    </xdr:from>
    <xdr:to>
      <xdr:col>75</xdr:col>
      <xdr:colOff>85725</xdr:colOff>
      <xdr:row>79</xdr:row>
      <xdr:rowOff>0</xdr:rowOff>
    </xdr:to>
    <xdr:graphicFrame macro="">
      <xdr:nvGraphicFramePr>
        <xdr:cNvPr id="22580" name="Chart 52">
          <a:extLst>
            <a:ext uri="{FF2B5EF4-FFF2-40B4-BE49-F238E27FC236}">
              <a16:creationId xmlns:a16="http://schemas.microsoft.com/office/drawing/2014/main" id="{00000000-0008-0000-0300-0000345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61</xdr:col>
      <xdr:colOff>19050</xdr:colOff>
      <xdr:row>50</xdr:row>
      <xdr:rowOff>104775</xdr:rowOff>
    </xdr:from>
    <xdr:to>
      <xdr:col>66</xdr:col>
      <xdr:colOff>104775</xdr:colOff>
      <xdr:row>52</xdr:row>
      <xdr:rowOff>104775</xdr:rowOff>
    </xdr:to>
    <xdr:sp macro="" textlink="">
      <xdr:nvSpPr>
        <xdr:cNvPr id="22581" name="AutoShape 53">
          <a:extLst>
            <a:ext uri="{FF2B5EF4-FFF2-40B4-BE49-F238E27FC236}">
              <a16:creationId xmlns:a16="http://schemas.microsoft.com/office/drawing/2014/main" id="{00000000-0008-0000-0300-000035580000}"/>
            </a:ext>
          </a:extLst>
        </xdr:cNvPr>
        <xdr:cNvSpPr>
          <a:spLocks noChangeArrowheads="1"/>
        </xdr:cNvSpPr>
      </xdr:nvSpPr>
      <xdr:spPr bwMode="auto">
        <a:xfrm>
          <a:off x="7000875" y="7915275"/>
          <a:ext cx="657225" cy="304800"/>
        </a:xfrm>
        <a:prstGeom prst="flowChartDecision">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End</a:t>
          </a:r>
        </a:p>
      </xdr:txBody>
    </xdr:sp>
    <xdr:clientData/>
  </xdr:twoCellAnchor>
  <xdr:twoCellAnchor>
    <xdr:from>
      <xdr:col>57</xdr:col>
      <xdr:colOff>95250</xdr:colOff>
      <xdr:row>52</xdr:row>
      <xdr:rowOff>123825</xdr:rowOff>
    </xdr:from>
    <xdr:to>
      <xdr:col>57</xdr:col>
      <xdr:colOff>95250</xdr:colOff>
      <xdr:row>70</xdr:row>
      <xdr:rowOff>133350</xdr:rowOff>
    </xdr:to>
    <xdr:sp macro="" textlink="">
      <xdr:nvSpPr>
        <xdr:cNvPr id="22582" name="Line 54">
          <a:extLst>
            <a:ext uri="{FF2B5EF4-FFF2-40B4-BE49-F238E27FC236}">
              <a16:creationId xmlns:a16="http://schemas.microsoft.com/office/drawing/2014/main" id="{00000000-0008-0000-0300-000036580000}"/>
            </a:ext>
          </a:extLst>
        </xdr:cNvPr>
        <xdr:cNvSpPr>
          <a:spLocks noChangeShapeType="1"/>
        </xdr:cNvSpPr>
      </xdr:nvSpPr>
      <xdr:spPr bwMode="auto">
        <a:xfrm>
          <a:off x="6619875" y="8239125"/>
          <a:ext cx="0" cy="2752725"/>
        </a:xfrm>
        <a:prstGeom prst="line">
          <a:avLst/>
        </a:prstGeom>
        <a:noFill/>
        <a:ln w="25400">
          <a:solidFill>
            <a:srgbClr val="993300"/>
          </a:solidFill>
          <a:round/>
          <a:headEnd/>
          <a:tailEnd/>
        </a:ln>
      </xdr:spPr>
    </xdr:sp>
    <xdr:clientData/>
  </xdr:twoCellAnchor>
  <xdr:twoCellAnchor>
    <xdr:from>
      <xdr:col>11</xdr:col>
      <xdr:colOff>104775</xdr:colOff>
      <xdr:row>50</xdr:row>
      <xdr:rowOff>133350</xdr:rowOff>
    </xdr:from>
    <xdr:to>
      <xdr:col>17</xdr:col>
      <xdr:colOff>76200</xdr:colOff>
      <xdr:row>52</xdr:row>
      <xdr:rowOff>133350</xdr:rowOff>
    </xdr:to>
    <xdr:sp macro="" textlink="">
      <xdr:nvSpPr>
        <xdr:cNvPr id="22583" name="AutoShape 55">
          <a:extLst>
            <a:ext uri="{FF2B5EF4-FFF2-40B4-BE49-F238E27FC236}">
              <a16:creationId xmlns:a16="http://schemas.microsoft.com/office/drawing/2014/main" id="{00000000-0008-0000-0300-000037580000}"/>
            </a:ext>
          </a:extLst>
        </xdr:cNvPr>
        <xdr:cNvSpPr>
          <a:spLocks noChangeArrowheads="1"/>
        </xdr:cNvSpPr>
      </xdr:nvSpPr>
      <xdr:spPr bwMode="auto">
        <a:xfrm>
          <a:off x="1381125" y="7943850"/>
          <a:ext cx="657225" cy="304800"/>
        </a:xfrm>
        <a:prstGeom prst="flowChartDecision">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Start</a:t>
          </a:r>
        </a:p>
      </xdr:txBody>
    </xdr:sp>
    <xdr:clientData/>
  </xdr:twoCellAnchor>
  <xdr:twoCellAnchor>
    <xdr:from>
      <xdr:col>14</xdr:col>
      <xdr:colOff>85725</xdr:colOff>
      <xdr:row>52</xdr:row>
      <xdr:rowOff>133350</xdr:rowOff>
    </xdr:from>
    <xdr:to>
      <xdr:col>14</xdr:col>
      <xdr:colOff>85725</xdr:colOff>
      <xdr:row>70</xdr:row>
      <xdr:rowOff>142875</xdr:rowOff>
    </xdr:to>
    <xdr:sp macro="" textlink="">
      <xdr:nvSpPr>
        <xdr:cNvPr id="22584" name="Line 56">
          <a:extLst>
            <a:ext uri="{FF2B5EF4-FFF2-40B4-BE49-F238E27FC236}">
              <a16:creationId xmlns:a16="http://schemas.microsoft.com/office/drawing/2014/main" id="{00000000-0008-0000-0300-000038580000}"/>
            </a:ext>
          </a:extLst>
        </xdr:cNvPr>
        <xdr:cNvSpPr>
          <a:spLocks noChangeShapeType="1"/>
        </xdr:cNvSpPr>
      </xdr:nvSpPr>
      <xdr:spPr bwMode="auto">
        <a:xfrm>
          <a:off x="1704975" y="8248650"/>
          <a:ext cx="0" cy="2752725"/>
        </a:xfrm>
        <a:prstGeom prst="line">
          <a:avLst/>
        </a:prstGeom>
        <a:noFill/>
        <a:ln w="25400">
          <a:solidFill>
            <a:srgbClr val="000000"/>
          </a:solidFill>
          <a:round/>
          <a:headEnd/>
          <a:tailEnd/>
        </a:ln>
      </xdr:spPr>
    </xdr:sp>
    <xdr:clientData/>
  </xdr:twoCellAnchor>
  <xdr:twoCellAnchor>
    <xdr:from>
      <xdr:col>16</xdr:col>
      <xdr:colOff>85725</xdr:colOff>
      <xdr:row>47</xdr:row>
      <xdr:rowOff>9525</xdr:rowOff>
    </xdr:from>
    <xdr:to>
      <xdr:col>38</xdr:col>
      <xdr:colOff>47625</xdr:colOff>
      <xdr:row>55</xdr:row>
      <xdr:rowOff>123825</xdr:rowOff>
    </xdr:to>
    <xdr:sp macro="" textlink="">
      <xdr:nvSpPr>
        <xdr:cNvPr id="22585" name="AutoShape 57">
          <a:extLst>
            <a:ext uri="{FF2B5EF4-FFF2-40B4-BE49-F238E27FC236}">
              <a16:creationId xmlns:a16="http://schemas.microsoft.com/office/drawing/2014/main" id="{00000000-0008-0000-0300-000039580000}"/>
            </a:ext>
          </a:extLst>
        </xdr:cNvPr>
        <xdr:cNvSpPr>
          <a:spLocks noChangeArrowheads="1"/>
        </xdr:cNvSpPr>
      </xdr:nvSpPr>
      <xdr:spPr bwMode="auto">
        <a:xfrm>
          <a:off x="1933575" y="7362825"/>
          <a:ext cx="2476500" cy="1333500"/>
        </a:xfrm>
        <a:prstGeom prst="wedgeRectCallout">
          <a:avLst>
            <a:gd name="adj1" fmla="val -21153"/>
            <a:gd name="adj2" fmla="val 70713"/>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ＭＳ Ｐゴシック"/>
              <a:ea typeface="ＭＳ Ｐゴシック"/>
            </a:rPr>
            <a:t>＜Causes of testing behind schedule＞</a:t>
          </a:r>
        </a:p>
        <a:p>
          <a:pPr algn="l" rtl="0">
            <a:defRPr sz="1000"/>
          </a:pPr>
          <a:r>
            <a:rPr lang="en-US" sz="1000" b="0" i="0" u="none" strike="noStrike" baseline="0">
              <a:solidFill>
                <a:srgbClr val="000000"/>
              </a:solidFill>
              <a:latin typeface="ＭＳ Ｐゴシック"/>
              <a:ea typeface="ＭＳ Ｐゴシック"/>
            </a:rPr>
            <a:t>・There are too many incidents.</a:t>
          </a:r>
        </a:p>
        <a:p>
          <a:pPr algn="l" rtl="0">
            <a:defRPr sz="1000"/>
          </a:pPr>
          <a:r>
            <a:rPr lang="en-US" sz="1000" b="0" i="0" u="none" strike="noStrike" baseline="0">
              <a:solidFill>
                <a:srgbClr val="000000"/>
              </a:solidFill>
              <a:latin typeface="ＭＳ Ｐゴシック"/>
              <a:ea typeface="ＭＳ Ｐゴシック"/>
            </a:rPr>
            <a:t>・Person in charge hasn’t enough skill.</a:t>
          </a:r>
        </a:p>
        <a:p>
          <a:pPr algn="l" rtl="0">
            <a:defRPr sz="1000"/>
          </a:pPr>
          <a:r>
            <a:rPr lang="en-US" sz="1000" b="0" i="0" u="none" strike="noStrike" baseline="0">
              <a:solidFill>
                <a:srgbClr val="000000"/>
              </a:solidFill>
              <a:latin typeface="ＭＳ Ｐゴシック"/>
              <a:ea typeface="ＭＳ Ｐゴシック"/>
            </a:rPr>
            <a:t>・Test environment isn’t perfect .</a:t>
          </a:r>
        </a:p>
        <a:p>
          <a:pPr algn="l" rtl="0">
            <a:defRPr sz="1000"/>
          </a:pPr>
          <a:r>
            <a:rPr lang="en-US" sz="1000" b="0" i="0" u="none" strike="noStrike" baseline="0">
              <a:solidFill>
                <a:srgbClr val="000000"/>
              </a:solidFill>
              <a:latin typeface="ＭＳ Ｐゴシック"/>
              <a:ea typeface="ＭＳ Ｐゴシック"/>
            </a:rPr>
            <a:t>・Lack of concentration in testing.</a:t>
          </a:r>
        </a:p>
        <a:p>
          <a:pPr algn="l" rtl="0">
            <a:defRPr sz="1000"/>
          </a:pPr>
          <a:r>
            <a:rPr lang="en-US" sz="1000" b="0" i="0" u="none" strike="noStrike" baseline="0">
              <a:solidFill>
                <a:srgbClr val="000000"/>
              </a:solidFill>
              <a:latin typeface="ＭＳ Ｐゴシック"/>
              <a:ea typeface="ＭＳ Ｐゴシック"/>
            </a:rPr>
            <a:t>・The frequency of specification change</a:t>
          </a:r>
        </a:p>
        <a:p>
          <a:pPr algn="l" rtl="0">
            <a:defRPr sz="1000"/>
          </a:pPr>
          <a:r>
            <a:rPr lang="en-US" sz="1000" b="0" i="0" u="none" strike="noStrike" baseline="0">
              <a:solidFill>
                <a:srgbClr val="000000"/>
              </a:solidFill>
              <a:latin typeface="ＭＳ Ｐゴシック"/>
              <a:ea typeface="ＭＳ Ｐゴシック"/>
            </a:rPr>
            <a:t>・Insufficient man power （Imperfect plan of man power）　　</a:t>
          </a:r>
        </a:p>
      </xdr:txBody>
    </xdr:sp>
    <xdr:clientData/>
  </xdr:twoCellAnchor>
  <xdr:twoCellAnchor>
    <xdr:from>
      <xdr:col>57</xdr:col>
      <xdr:colOff>104775</xdr:colOff>
      <xdr:row>53</xdr:row>
      <xdr:rowOff>38100</xdr:rowOff>
    </xdr:from>
    <xdr:to>
      <xdr:col>65</xdr:col>
      <xdr:colOff>104775</xdr:colOff>
      <xdr:row>56</xdr:row>
      <xdr:rowOff>76200</xdr:rowOff>
    </xdr:to>
    <xdr:sp macro="" textlink="">
      <xdr:nvSpPr>
        <xdr:cNvPr id="22586" name="Line 58">
          <a:extLst>
            <a:ext uri="{FF2B5EF4-FFF2-40B4-BE49-F238E27FC236}">
              <a16:creationId xmlns:a16="http://schemas.microsoft.com/office/drawing/2014/main" id="{00000000-0008-0000-0300-00003A580000}"/>
            </a:ext>
          </a:extLst>
        </xdr:cNvPr>
        <xdr:cNvSpPr>
          <a:spLocks noChangeShapeType="1"/>
        </xdr:cNvSpPr>
      </xdr:nvSpPr>
      <xdr:spPr bwMode="auto">
        <a:xfrm flipV="1">
          <a:off x="6629400" y="8305800"/>
          <a:ext cx="914400" cy="495300"/>
        </a:xfrm>
        <a:prstGeom prst="line">
          <a:avLst/>
        </a:prstGeom>
        <a:noFill/>
        <a:ln w="15875">
          <a:solidFill>
            <a:srgbClr val="000000"/>
          </a:solidFill>
          <a:prstDash val="dash"/>
          <a:round/>
          <a:headEnd/>
          <a:tailEnd/>
        </a:ln>
      </xdr:spPr>
    </xdr:sp>
    <xdr:clientData/>
  </xdr:twoCellAnchor>
  <xdr:twoCellAnchor>
    <xdr:from>
      <xdr:col>58</xdr:col>
      <xdr:colOff>28575</xdr:colOff>
      <xdr:row>52</xdr:row>
      <xdr:rowOff>133350</xdr:rowOff>
    </xdr:from>
    <xdr:to>
      <xdr:col>64</xdr:col>
      <xdr:colOff>85725</xdr:colOff>
      <xdr:row>56</xdr:row>
      <xdr:rowOff>114300</xdr:rowOff>
    </xdr:to>
    <xdr:sp macro="" textlink="">
      <xdr:nvSpPr>
        <xdr:cNvPr id="22587" name="Line 59">
          <a:extLst>
            <a:ext uri="{FF2B5EF4-FFF2-40B4-BE49-F238E27FC236}">
              <a16:creationId xmlns:a16="http://schemas.microsoft.com/office/drawing/2014/main" id="{00000000-0008-0000-0300-00003B580000}"/>
            </a:ext>
          </a:extLst>
        </xdr:cNvPr>
        <xdr:cNvSpPr>
          <a:spLocks noChangeShapeType="1"/>
        </xdr:cNvSpPr>
      </xdr:nvSpPr>
      <xdr:spPr bwMode="auto">
        <a:xfrm flipV="1">
          <a:off x="6667500" y="8248650"/>
          <a:ext cx="742950" cy="590550"/>
        </a:xfrm>
        <a:prstGeom prst="line">
          <a:avLst/>
        </a:prstGeom>
        <a:noFill/>
        <a:ln w="15875">
          <a:solidFill>
            <a:srgbClr val="FF0000"/>
          </a:solidFill>
          <a:prstDash val="dash"/>
          <a:round/>
          <a:headEnd/>
          <a:tailEnd/>
        </a:ln>
      </xdr:spPr>
    </xdr:sp>
    <xdr:clientData/>
  </xdr:twoCellAnchor>
  <xdr:twoCellAnchor>
    <xdr:from>
      <xdr:col>39</xdr:col>
      <xdr:colOff>9525</xdr:colOff>
      <xdr:row>50</xdr:row>
      <xdr:rowOff>19050</xdr:rowOff>
    </xdr:from>
    <xdr:to>
      <xdr:col>55</xdr:col>
      <xdr:colOff>66675</xdr:colOff>
      <xdr:row>53</xdr:row>
      <xdr:rowOff>114300</xdr:rowOff>
    </xdr:to>
    <xdr:sp macro="" textlink="">
      <xdr:nvSpPr>
        <xdr:cNvPr id="22588" name="AutoShape 60">
          <a:extLst>
            <a:ext uri="{FF2B5EF4-FFF2-40B4-BE49-F238E27FC236}">
              <a16:creationId xmlns:a16="http://schemas.microsoft.com/office/drawing/2014/main" id="{00000000-0008-0000-0300-00003C580000}"/>
            </a:ext>
          </a:extLst>
        </xdr:cNvPr>
        <xdr:cNvSpPr>
          <a:spLocks noChangeArrowheads="1"/>
        </xdr:cNvSpPr>
      </xdr:nvSpPr>
      <xdr:spPr bwMode="auto">
        <a:xfrm>
          <a:off x="4486275" y="7829550"/>
          <a:ext cx="1876425" cy="552450"/>
        </a:xfrm>
        <a:prstGeom prst="wedgeRectCallout">
          <a:avLst>
            <a:gd name="adj1" fmla="val -31218"/>
            <a:gd name="adj2" fmla="val 263792"/>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900" b="0" i="0" u="none" strike="noStrike" baseline="0">
              <a:solidFill>
                <a:srgbClr val="000000"/>
              </a:solidFill>
              <a:latin typeface="ＭＳ Ｐゴシック"/>
              <a:ea typeface="ＭＳ Ｐゴシック"/>
            </a:rPr>
            <a:t>＜In case of too many incidents＞</a:t>
          </a:r>
        </a:p>
        <a:p>
          <a:pPr algn="l" rtl="0">
            <a:defRPr sz="1000"/>
          </a:pPr>
          <a:r>
            <a:rPr lang="en-US" sz="900" b="0" i="0" u="none" strike="noStrike" baseline="0">
              <a:solidFill>
                <a:srgbClr val="000000"/>
              </a:solidFill>
              <a:latin typeface="ＭＳ Ｐゴシック"/>
              <a:ea typeface="ＭＳ Ｐゴシック"/>
            </a:rPr>
            <a:t>・There is problem on quality</a:t>
          </a:r>
        </a:p>
        <a:p>
          <a:pPr algn="l" rtl="0">
            <a:defRPr sz="1000"/>
          </a:pPr>
          <a:r>
            <a:rPr lang="en-US" sz="900" b="0" i="0" u="none" strike="noStrike" baseline="0">
              <a:solidFill>
                <a:srgbClr val="000000"/>
              </a:solidFill>
              <a:latin typeface="ＭＳ Ｐゴシック"/>
              <a:ea typeface="ＭＳ Ｐゴシック"/>
            </a:rPr>
            <a:t>・Planned target is too low</a:t>
          </a:r>
        </a:p>
      </xdr:txBody>
    </xdr:sp>
    <xdr:clientData/>
  </xdr:twoCellAnchor>
  <xdr:twoCellAnchor>
    <xdr:from>
      <xdr:col>5</xdr:col>
      <xdr:colOff>66675</xdr:colOff>
      <xdr:row>72</xdr:row>
      <xdr:rowOff>19050</xdr:rowOff>
    </xdr:from>
    <xdr:to>
      <xdr:col>31</xdr:col>
      <xdr:colOff>95250</xdr:colOff>
      <xdr:row>75</xdr:row>
      <xdr:rowOff>85725</xdr:rowOff>
    </xdr:to>
    <xdr:sp macro="" textlink="">
      <xdr:nvSpPr>
        <xdr:cNvPr id="22589" name="AutoShape 61">
          <a:extLst>
            <a:ext uri="{FF2B5EF4-FFF2-40B4-BE49-F238E27FC236}">
              <a16:creationId xmlns:a16="http://schemas.microsoft.com/office/drawing/2014/main" id="{00000000-0008-0000-0300-00003D580000}"/>
            </a:ext>
          </a:extLst>
        </xdr:cNvPr>
        <xdr:cNvSpPr>
          <a:spLocks noChangeArrowheads="1"/>
        </xdr:cNvSpPr>
      </xdr:nvSpPr>
      <xdr:spPr bwMode="auto">
        <a:xfrm>
          <a:off x="638175" y="11182350"/>
          <a:ext cx="3019425" cy="523875"/>
        </a:xfrm>
        <a:prstGeom prst="wedgeRectCallout">
          <a:avLst>
            <a:gd name="adj1" fmla="val 23815"/>
            <a:gd name="adj2" fmla="val -115454"/>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900" b="0" i="0" u="none" strike="noStrike" baseline="0">
              <a:solidFill>
                <a:srgbClr val="000000"/>
              </a:solidFill>
              <a:latin typeface="ＭＳ Ｐゴシック"/>
              <a:ea typeface="ＭＳ Ｐゴシック"/>
            </a:rPr>
            <a:t>＜In case of too low incidents＞</a:t>
          </a:r>
        </a:p>
        <a:p>
          <a:pPr algn="l" rtl="0">
            <a:defRPr sz="1000"/>
          </a:pPr>
          <a:r>
            <a:rPr lang="en-US" sz="900" b="0" i="0" u="none" strike="noStrike" baseline="0">
              <a:solidFill>
                <a:srgbClr val="000000"/>
              </a:solidFill>
              <a:latin typeface="ＭＳ Ｐゴシック"/>
              <a:ea typeface="ＭＳ Ｐゴシック"/>
            </a:rPr>
            <a:t>・Test items are not enough, some test items are missing.</a:t>
          </a:r>
        </a:p>
        <a:p>
          <a:pPr algn="l" rtl="0">
            <a:defRPr sz="1000"/>
          </a:pPr>
          <a:r>
            <a:rPr lang="en-US" sz="900" b="0" i="0" u="none" strike="noStrike" baseline="0">
              <a:solidFill>
                <a:srgbClr val="000000"/>
              </a:solidFill>
              <a:latin typeface="ＭＳ Ｐゴシック"/>
              <a:ea typeface="ＭＳ Ｐゴシック"/>
            </a:rPr>
            <a:t>・Test cases are not appropriate.</a:t>
          </a:r>
        </a:p>
      </xdr:txBody>
    </xdr:sp>
    <xdr:clientData/>
  </xdr:twoCellAnchor>
  <xdr:twoCellAnchor>
    <xdr:from>
      <xdr:col>64</xdr:col>
      <xdr:colOff>0</xdr:colOff>
      <xdr:row>52</xdr:row>
      <xdr:rowOff>76200</xdr:rowOff>
    </xdr:from>
    <xdr:to>
      <xdr:col>64</xdr:col>
      <xdr:colOff>0</xdr:colOff>
      <xdr:row>70</xdr:row>
      <xdr:rowOff>85725</xdr:rowOff>
    </xdr:to>
    <xdr:sp macro="" textlink="">
      <xdr:nvSpPr>
        <xdr:cNvPr id="22590" name="Line 62">
          <a:extLst>
            <a:ext uri="{FF2B5EF4-FFF2-40B4-BE49-F238E27FC236}">
              <a16:creationId xmlns:a16="http://schemas.microsoft.com/office/drawing/2014/main" id="{00000000-0008-0000-0300-00003E580000}"/>
            </a:ext>
          </a:extLst>
        </xdr:cNvPr>
        <xdr:cNvSpPr>
          <a:spLocks noChangeShapeType="1"/>
        </xdr:cNvSpPr>
      </xdr:nvSpPr>
      <xdr:spPr bwMode="auto">
        <a:xfrm>
          <a:off x="7324725" y="8191500"/>
          <a:ext cx="0" cy="2752725"/>
        </a:xfrm>
        <a:prstGeom prst="line">
          <a:avLst/>
        </a:prstGeom>
        <a:noFill/>
        <a:ln w="25400">
          <a:solidFill>
            <a:srgbClr val="000000"/>
          </a:solidFill>
          <a:round/>
          <a:headEnd/>
          <a:tailEnd/>
        </a:ln>
      </xdr:spPr>
    </xdr:sp>
    <xdr:clientData/>
  </xdr:twoCellAnchor>
  <xdr:twoCellAnchor>
    <xdr:from>
      <xdr:col>58</xdr:col>
      <xdr:colOff>95250</xdr:colOff>
      <xdr:row>58</xdr:row>
      <xdr:rowOff>76200</xdr:rowOff>
    </xdr:from>
    <xdr:to>
      <xdr:col>76</xdr:col>
      <xdr:colOff>9525</xdr:colOff>
      <xdr:row>62</xdr:row>
      <xdr:rowOff>123825</xdr:rowOff>
    </xdr:to>
    <xdr:sp macro="" textlink="">
      <xdr:nvSpPr>
        <xdr:cNvPr id="22591" name="AutoShape 63">
          <a:extLst>
            <a:ext uri="{FF2B5EF4-FFF2-40B4-BE49-F238E27FC236}">
              <a16:creationId xmlns:a16="http://schemas.microsoft.com/office/drawing/2014/main" id="{00000000-0008-0000-0300-00003F580000}"/>
            </a:ext>
          </a:extLst>
        </xdr:cNvPr>
        <xdr:cNvSpPr>
          <a:spLocks noChangeArrowheads="1"/>
        </xdr:cNvSpPr>
      </xdr:nvSpPr>
      <xdr:spPr bwMode="auto">
        <a:xfrm>
          <a:off x="6734175" y="9105900"/>
          <a:ext cx="1971675" cy="657225"/>
        </a:xfrm>
        <a:prstGeom prst="wedgeRectCallout">
          <a:avLst>
            <a:gd name="adj1" fmla="val -24398"/>
            <a:gd name="adj2" fmla="val -157245"/>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1000" b="0" i="0" u="none" strike="noStrike" baseline="0">
              <a:solidFill>
                <a:srgbClr val="000000"/>
              </a:solidFill>
              <a:latin typeface="ＭＳ Ｐゴシック"/>
              <a:ea typeface="ＭＳ Ｐゴシック"/>
            </a:rPr>
            <a:t>&lt;Tendency of Incident Fixing&gt;</a:t>
          </a:r>
        </a:p>
        <a:p>
          <a:pPr algn="l" rtl="0">
            <a:defRPr sz="1000"/>
          </a:pPr>
          <a:r>
            <a:rPr lang="en-US" sz="1000" b="0" i="0" u="none" strike="noStrike" baseline="0">
              <a:solidFill>
                <a:srgbClr val="000000"/>
              </a:solidFill>
              <a:latin typeface="ＭＳ Ｐゴシック"/>
              <a:ea typeface="ＭＳ Ｐゴシック"/>
            </a:rPr>
            <a:t>Incident fixing tends to finish by the end of testing phase.</a:t>
          </a:r>
        </a:p>
      </xdr:txBody>
    </xdr:sp>
    <xdr:clientData/>
  </xdr:twoCellAnchor>
  <xdr:twoCellAnchor>
    <xdr:from>
      <xdr:col>54</xdr:col>
      <xdr:colOff>19050</xdr:colOff>
      <xdr:row>50</xdr:row>
      <xdr:rowOff>123825</xdr:rowOff>
    </xdr:from>
    <xdr:to>
      <xdr:col>61</xdr:col>
      <xdr:colOff>38100</xdr:colOff>
      <xdr:row>52</xdr:row>
      <xdr:rowOff>123825</xdr:rowOff>
    </xdr:to>
    <xdr:sp macro="" textlink="">
      <xdr:nvSpPr>
        <xdr:cNvPr id="22592" name="AutoShape 64">
          <a:extLst>
            <a:ext uri="{FF2B5EF4-FFF2-40B4-BE49-F238E27FC236}">
              <a16:creationId xmlns:a16="http://schemas.microsoft.com/office/drawing/2014/main" id="{00000000-0008-0000-0300-000040580000}"/>
            </a:ext>
          </a:extLst>
        </xdr:cNvPr>
        <xdr:cNvSpPr>
          <a:spLocks noChangeArrowheads="1"/>
        </xdr:cNvSpPr>
      </xdr:nvSpPr>
      <xdr:spPr bwMode="auto">
        <a:xfrm>
          <a:off x="6200775" y="7934325"/>
          <a:ext cx="819150" cy="304800"/>
        </a:xfrm>
        <a:prstGeom prst="flowChartDecision">
          <a:avLst/>
        </a:prstGeom>
        <a:solidFill>
          <a:srgbClr val="FFFFFF"/>
        </a:solidFill>
        <a:ln w="9525">
          <a:solidFill>
            <a:srgbClr val="9933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Today</a:t>
          </a:r>
        </a:p>
      </xdr:txBody>
    </xdr:sp>
    <xdr:clientData/>
  </xdr:twoCellAnchor>
  <xdr:twoCellAnchor>
    <xdr:from>
      <xdr:col>54</xdr:col>
      <xdr:colOff>0</xdr:colOff>
      <xdr:row>69</xdr:row>
      <xdr:rowOff>142875</xdr:rowOff>
    </xdr:from>
    <xdr:to>
      <xdr:col>73</xdr:col>
      <xdr:colOff>85725</xdr:colOff>
      <xdr:row>75</xdr:row>
      <xdr:rowOff>57150</xdr:rowOff>
    </xdr:to>
    <xdr:sp macro="" textlink="">
      <xdr:nvSpPr>
        <xdr:cNvPr id="22593" name="AutoShape 65">
          <a:extLst>
            <a:ext uri="{FF2B5EF4-FFF2-40B4-BE49-F238E27FC236}">
              <a16:creationId xmlns:a16="http://schemas.microsoft.com/office/drawing/2014/main" id="{00000000-0008-0000-0300-000041580000}"/>
            </a:ext>
          </a:extLst>
        </xdr:cNvPr>
        <xdr:cNvSpPr>
          <a:spLocks noChangeArrowheads="1"/>
        </xdr:cNvSpPr>
      </xdr:nvSpPr>
      <xdr:spPr bwMode="auto">
        <a:xfrm>
          <a:off x="6181725" y="10848975"/>
          <a:ext cx="2257425" cy="828675"/>
        </a:xfrm>
        <a:prstGeom prst="wedgeRectCallout">
          <a:avLst>
            <a:gd name="adj1" fmla="val -47889"/>
            <a:gd name="adj2" fmla="val -270690"/>
          </a:avLst>
        </a:prstGeom>
        <a:solidFill>
          <a:srgbClr val="FFFFFF"/>
        </a:solidFill>
        <a:ln w="9525">
          <a:solidFill>
            <a:srgbClr val="000000"/>
          </a:solidFill>
          <a:miter lim="800000"/>
          <a:headEnd/>
          <a:tailEnd/>
        </a:ln>
      </xdr:spPr>
      <xdr:txBody>
        <a:bodyPr vertOverflow="clip" wrap="square" lIns="91440" tIns="45720" rIns="91440" bIns="45720" anchor="t" upright="1"/>
        <a:lstStyle/>
        <a:p>
          <a:pPr algn="l" rtl="0">
            <a:defRPr sz="1000"/>
          </a:pPr>
          <a:r>
            <a:rPr lang="en-US" sz="900" b="0" i="0" u="none" strike="noStrike" baseline="0">
              <a:solidFill>
                <a:srgbClr val="000000"/>
              </a:solidFill>
              <a:latin typeface="ＭＳ Ｐゴシック"/>
              <a:ea typeface="ＭＳ Ｐゴシック"/>
            </a:rPr>
            <a:t>＜In case, test is almost finished but incident detection still high.＞</a:t>
          </a:r>
        </a:p>
        <a:p>
          <a:pPr algn="l" rtl="0">
            <a:defRPr sz="1000"/>
          </a:pPr>
          <a:r>
            <a:rPr lang="en-US" sz="900" b="0" i="0" u="none" strike="noStrike" baseline="0">
              <a:solidFill>
                <a:srgbClr val="000000"/>
              </a:solidFill>
              <a:latin typeface="ＭＳ Ｐゴシック"/>
              <a:ea typeface="ＭＳ Ｐゴシック"/>
            </a:rPr>
            <a:t>・Side effect incidents are detected due to incomplete of incident fixing and specification change</a:t>
          </a:r>
        </a:p>
      </xdr:txBody>
    </xdr:sp>
    <xdr:clientData/>
  </xdr:twoCellAnchor>
  <xdr:twoCellAnchor>
    <xdr:from>
      <xdr:col>34</xdr:col>
      <xdr:colOff>85725</xdr:colOff>
      <xdr:row>48</xdr:row>
      <xdr:rowOff>38100</xdr:rowOff>
    </xdr:from>
    <xdr:to>
      <xdr:col>37</xdr:col>
      <xdr:colOff>66675</xdr:colOff>
      <xdr:row>48</xdr:row>
      <xdr:rowOff>114300</xdr:rowOff>
    </xdr:to>
    <xdr:grpSp>
      <xdr:nvGrpSpPr>
        <xdr:cNvPr id="22594" name="Group 66">
          <a:extLst>
            <a:ext uri="{FF2B5EF4-FFF2-40B4-BE49-F238E27FC236}">
              <a16:creationId xmlns:a16="http://schemas.microsoft.com/office/drawing/2014/main" id="{00000000-0008-0000-0300-000042580000}"/>
            </a:ext>
          </a:extLst>
        </xdr:cNvPr>
        <xdr:cNvGrpSpPr>
          <a:grpSpLocks/>
        </xdr:cNvGrpSpPr>
      </xdr:nvGrpSpPr>
      <xdr:grpSpPr bwMode="auto">
        <a:xfrm>
          <a:off x="4314825" y="7543800"/>
          <a:ext cx="352425" cy="76200"/>
          <a:chOff x="400" y="794"/>
          <a:chExt cx="34" cy="8"/>
        </a:xfrm>
      </xdr:grpSpPr>
      <xdr:sp macro="" textlink="">
        <xdr:nvSpPr>
          <xdr:cNvPr id="22595" name="Line 67">
            <a:extLst>
              <a:ext uri="{FF2B5EF4-FFF2-40B4-BE49-F238E27FC236}">
                <a16:creationId xmlns:a16="http://schemas.microsoft.com/office/drawing/2014/main" id="{00000000-0008-0000-0300-000043580000}"/>
              </a:ext>
            </a:extLst>
          </xdr:cNvPr>
          <xdr:cNvSpPr>
            <a:spLocks noChangeShapeType="1"/>
          </xdr:cNvSpPr>
        </xdr:nvSpPr>
        <xdr:spPr bwMode="auto">
          <a:xfrm>
            <a:off x="400" y="798"/>
            <a:ext cx="34" cy="0"/>
          </a:xfrm>
          <a:prstGeom prst="line">
            <a:avLst/>
          </a:prstGeom>
          <a:noFill/>
          <a:ln w="9525">
            <a:solidFill>
              <a:srgbClr val="FF00FF"/>
            </a:solidFill>
            <a:round/>
            <a:headEnd/>
            <a:tailEnd/>
          </a:ln>
        </xdr:spPr>
      </xdr:sp>
      <xdr:sp macro="" textlink="">
        <xdr:nvSpPr>
          <xdr:cNvPr id="22596" name="Rectangle 68">
            <a:extLst>
              <a:ext uri="{FF2B5EF4-FFF2-40B4-BE49-F238E27FC236}">
                <a16:creationId xmlns:a16="http://schemas.microsoft.com/office/drawing/2014/main" id="{00000000-0008-0000-0300-000044580000}"/>
              </a:ext>
            </a:extLst>
          </xdr:cNvPr>
          <xdr:cNvSpPr>
            <a:spLocks noChangeArrowheads="1"/>
          </xdr:cNvSpPr>
        </xdr:nvSpPr>
        <xdr:spPr bwMode="auto">
          <a:xfrm>
            <a:off x="413" y="794"/>
            <a:ext cx="8" cy="8"/>
          </a:xfrm>
          <a:prstGeom prst="rect">
            <a:avLst/>
          </a:prstGeom>
          <a:solidFill>
            <a:srgbClr val="FF00FF"/>
          </a:solidFill>
          <a:ln w="9525">
            <a:solidFill>
              <a:srgbClr val="FF00FF"/>
            </a:solidFill>
            <a:miter lim="800000"/>
            <a:headEnd/>
            <a:tailEnd/>
          </a:ln>
        </xdr:spPr>
      </xdr:sp>
    </xdr:grpSp>
    <xdr:clientData/>
  </xdr:twoCellAnchor>
  <xdr:twoCellAnchor>
    <xdr:from>
      <xdr:col>34</xdr:col>
      <xdr:colOff>85725</xdr:colOff>
      <xdr:row>48</xdr:row>
      <xdr:rowOff>142875</xdr:rowOff>
    </xdr:from>
    <xdr:to>
      <xdr:col>37</xdr:col>
      <xdr:colOff>66675</xdr:colOff>
      <xdr:row>49</xdr:row>
      <xdr:rowOff>85725</xdr:rowOff>
    </xdr:to>
    <xdr:grpSp>
      <xdr:nvGrpSpPr>
        <xdr:cNvPr id="22597" name="Group 69">
          <a:extLst>
            <a:ext uri="{FF2B5EF4-FFF2-40B4-BE49-F238E27FC236}">
              <a16:creationId xmlns:a16="http://schemas.microsoft.com/office/drawing/2014/main" id="{00000000-0008-0000-0300-000045580000}"/>
            </a:ext>
          </a:extLst>
        </xdr:cNvPr>
        <xdr:cNvGrpSpPr>
          <a:grpSpLocks/>
        </xdr:cNvGrpSpPr>
      </xdr:nvGrpSpPr>
      <xdr:grpSpPr bwMode="auto">
        <a:xfrm>
          <a:off x="4314825" y="7648575"/>
          <a:ext cx="352425" cy="95250"/>
          <a:chOff x="421" y="800"/>
          <a:chExt cx="34" cy="10"/>
        </a:xfrm>
      </xdr:grpSpPr>
      <xdr:sp macro="" textlink="">
        <xdr:nvSpPr>
          <xdr:cNvPr id="22598" name="Line 70">
            <a:extLst>
              <a:ext uri="{FF2B5EF4-FFF2-40B4-BE49-F238E27FC236}">
                <a16:creationId xmlns:a16="http://schemas.microsoft.com/office/drawing/2014/main" id="{00000000-0008-0000-0300-000046580000}"/>
              </a:ext>
            </a:extLst>
          </xdr:cNvPr>
          <xdr:cNvSpPr>
            <a:spLocks noChangeShapeType="1"/>
          </xdr:cNvSpPr>
        </xdr:nvSpPr>
        <xdr:spPr bwMode="auto">
          <a:xfrm>
            <a:off x="421" y="805"/>
            <a:ext cx="34" cy="0"/>
          </a:xfrm>
          <a:prstGeom prst="line">
            <a:avLst/>
          </a:prstGeom>
          <a:noFill/>
          <a:ln w="9525">
            <a:solidFill>
              <a:srgbClr val="000080"/>
            </a:solidFill>
            <a:round/>
            <a:headEnd/>
            <a:tailEnd/>
          </a:ln>
        </xdr:spPr>
      </xdr:sp>
      <xdr:sp macro="" textlink="">
        <xdr:nvSpPr>
          <xdr:cNvPr id="22599" name="AutoShape 71">
            <a:extLst>
              <a:ext uri="{FF2B5EF4-FFF2-40B4-BE49-F238E27FC236}">
                <a16:creationId xmlns:a16="http://schemas.microsoft.com/office/drawing/2014/main" id="{00000000-0008-0000-0300-000047580000}"/>
              </a:ext>
            </a:extLst>
          </xdr:cNvPr>
          <xdr:cNvSpPr>
            <a:spLocks noChangeArrowheads="1"/>
          </xdr:cNvSpPr>
        </xdr:nvSpPr>
        <xdr:spPr bwMode="auto">
          <a:xfrm>
            <a:off x="435" y="800"/>
            <a:ext cx="8" cy="10"/>
          </a:xfrm>
          <a:prstGeom prst="diamond">
            <a:avLst/>
          </a:prstGeom>
          <a:solidFill>
            <a:srgbClr val="000080"/>
          </a:solidFill>
          <a:ln w="9525">
            <a:solidFill>
              <a:srgbClr val="000080"/>
            </a:solidFill>
            <a:miter lim="800000"/>
            <a:headEnd/>
            <a:tailEnd/>
          </a:ln>
        </xdr:spPr>
      </xdr:sp>
    </xdr:grpSp>
    <xdr:clientData/>
  </xdr:twoCellAnchor>
  <xdr:twoCellAnchor>
    <xdr:from>
      <xdr:col>52</xdr:col>
      <xdr:colOff>0</xdr:colOff>
      <xdr:row>52</xdr:row>
      <xdr:rowOff>9525</xdr:rowOff>
    </xdr:from>
    <xdr:to>
      <xdr:col>54</xdr:col>
      <xdr:colOff>76200</xdr:colOff>
      <xdr:row>52</xdr:row>
      <xdr:rowOff>85725</xdr:rowOff>
    </xdr:to>
    <xdr:grpSp>
      <xdr:nvGrpSpPr>
        <xdr:cNvPr id="22600" name="Group 72">
          <a:extLst>
            <a:ext uri="{FF2B5EF4-FFF2-40B4-BE49-F238E27FC236}">
              <a16:creationId xmlns:a16="http://schemas.microsoft.com/office/drawing/2014/main" id="{00000000-0008-0000-0300-000048580000}"/>
            </a:ext>
          </a:extLst>
        </xdr:cNvPr>
        <xdr:cNvGrpSpPr>
          <a:grpSpLocks/>
        </xdr:cNvGrpSpPr>
      </xdr:nvGrpSpPr>
      <xdr:grpSpPr bwMode="auto">
        <a:xfrm>
          <a:off x="6448425" y="8124825"/>
          <a:ext cx="323850" cy="76200"/>
          <a:chOff x="282" y="1163"/>
          <a:chExt cx="32" cy="8"/>
        </a:xfrm>
      </xdr:grpSpPr>
      <xdr:sp macro="" textlink="">
        <xdr:nvSpPr>
          <xdr:cNvPr id="22601" name="Line 73">
            <a:extLst>
              <a:ext uri="{FF2B5EF4-FFF2-40B4-BE49-F238E27FC236}">
                <a16:creationId xmlns:a16="http://schemas.microsoft.com/office/drawing/2014/main" id="{00000000-0008-0000-0300-000049580000}"/>
              </a:ext>
            </a:extLst>
          </xdr:cNvPr>
          <xdr:cNvSpPr>
            <a:spLocks noChangeShapeType="1"/>
          </xdr:cNvSpPr>
        </xdr:nvSpPr>
        <xdr:spPr bwMode="auto">
          <a:xfrm>
            <a:off x="282" y="1168"/>
            <a:ext cx="32" cy="0"/>
          </a:xfrm>
          <a:prstGeom prst="line">
            <a:avLst/>
          </a:prstGeom>
          <a:noFill/>
          <a:ln w="9525">
            <a:solidFill>
              <a:srgbClr val="FFFF00"/>
            </a:solidFill>
            <a:round/>
            <a:headEnd/>
            <a:tailEnd/>
          </a:ln>
        </xdr:spPr>
      </xdr:sp>
      <xdr:sp macro="" textlink="">
        <xdr:nvSpPr>
          <xdr:cNvPr id="22602" name="AutoShape 74">
            <a:extLst>
              <a:ext uri="{FF2B5EF4-FFF2-40B4-BE49-F238E27FC236}">
                <a16:creationId xmlns:a16="http://schemas.microsoft.com/office/drawing/2014/main" id="{00000000-0008-0000-0300-00004A580000}"/>
              </a:ext>
            </a:extLst>
          </xdr:cNvPr>
          <xdr:cNvSpPr>
            <a:spLocks noChangeArrowheads="1"/>
          </xdr:cNvSpPr>
        </xdr:nvSpPr>
        <xdr:spPr bwMode="auto">
          <a:xfrm>
            <a:off x="295" y="1163"/>
            <a:ext cx="8" cy="8"/>
          </a:xfrm>
          <a:prstGeom prst="flowChartExtract">
            <a:avLst/>
          </a:prstGeom>
          <a:solidFill>
            <a:srgbClr val="FFFF00"/>
          </a:solidFill>
          <a:ln w="9525">
            <a:solidFill>
              <a:srgbClr val="FFFF00"/>
            </a:solidFill>
            <a:miter lim="800000"/>
            <a:headEnd/>
            <a:tailEnd/>
          </a:ln>
        </xdr:spPr>
      </xdr:sp>
    </xdr:grpSp>
    <xdr:clientData/>
  </xdr:twoCellAnchor>
  <xdr:twoCellAnchor>
    <xdr:from>
      <xdr:col>52</xdr:col>
      <xdr:colOff>9525</xdr:colOff>
      <xdr:row>52</xdr:row>
      <xdr:rowOff>133350</xdr:rowOff>
    </xdr:from>
    <xdr:to>
      <xdr:col>55</xdr:col>
      <xdr:colOff>9525</xdr:colOff>
      <xdr:row>53</xdr:row>
      <xdr:rowOff>47625</xdr:rowOff>
    </xdr:to>
    <xdr:grpSp>
      <xdr:nvGrpSpPr>
        <xdr:cNvPr id="22603" name="Group 75">
          <a:extLst>
            <a:ext uri="{FF2B5EF4-FFF2-40B4-BE49-F238E27FC236}">
              <a16:creationId xmlns:a16="http://schemas.microsoft.com/office/drawing/2014/main" id="{00000000-0008-0000-0300-00004B580000}"/>
            </a:ext>
          </a:extLst>
        </xdr:cNvPr>
        <xdr:cNvGrpSpPr>
          <a:grpSpLocks/>
        </xdr:cNvGrpSpPr>
      </xdr:nvGrpSpPr>
      <xdr:grpSpPr bwMode="auto">
        <a:xfrm>
          <a:off x="6457950" y="8248650"/>
          <a:ext cx="371475" cy="66675"/>
          <a:chOff x="283" y="1176"/>
          <a:chExt cx="36" cy="7"/>
        </a:xfrm>
      </xdr:grpSpPr>
      <xdr:sp macro="" textlink="">
        <xdr:nvSpPr>
          <xdr:cNvPr id="22604" name="Line 76">
            <a:extLst>
              <a:ext uri="{FF2B5EF4-FFF2-40B4-BE49-F238E27FC236}">
                <a16:creationId xmlns:a16="http://schemas.microsoft.com/office/drawing/2014/main" id="{00000000-0008-0000-0300-00004C580000}"/>
              </a:ext>
            </a:extLst>
          </xdr:cNvPr>
          <xdr:cNvSpPr>
            <a:spLocks noChangeShapeType="1"/>
          </xdr:cNvSpPr>
        </xdr:nvSpPr>
        <xdr:spPr bwMode="auto">
          <a:xfrm>
            <a:off x="283" y="1179"/>
            <a:ext cx="36" cy="0"/>
          </a:xfrm>
          <a:prstGeom prst="line">
            <a:avLst/>
          </a:prstGeom>
          <a:noFill/>
          <a:ln w="9525">
            <a:solidFill>
              <a:srgbClr val="00FFFF"/>
            </a:solidFill>
            <a:round/>
            <a:headEnd/>
            <a:tailEnd/>
          </a:ln>
        </xdr:spPr>
      </xdr:sp>
      <xdr:sp macro="" textlink="">
        <xdr:nvSpPr>
          <xdr:cNvPr id="22605" name="Line 77">
            <a:extLst>
              <a:ext uri="{FF2B5EF4-FFF2-40B4-BE49-F238E27FC236}">
                <a16:creationId xmlns:a16="http://schemas.microsoft.com/office/drawing/2014/main" id="{00000000-0008-0000-0300-00004D580000}"/>
              </a:ext>
            </a:extLst>
          </xdr:cNvPr>
          <xdr:cNvSpPr>
            <a:spLocks noChangeShapeType="1"/>
          </xdr:cNvSpPr>
        </xdr:nvSpPr>
        <xdr:spPr bwMode="auto">
          <a:xfrm flipV="1">
            <a:off x="297" y="1176"/>
            <a:ext cx="7" cy="7"/>
          </a:xfrm>
          <a:prstGeom prst="line">
            <a:avLst/>
          </a:prstGeom>
          <a:noFill/>
          <a:ln w="9525">
            <a:solidFill>
              <a:srgbClr val="00FFFF"/>
            </a:solidFill>
            <a:round/>
            <a:headEnd/>
            <a:tailEnd/>
          </a:ln>
        </xdr:spPr>
      </xdr:sp>
      <xdr:sp macro="" textlink="">
        <xdr:nvSpPr>
          <xdr:cNvPr id="22606" name="Line 78">
            <a:extLst>
              <a:ext uri="{FF2B5EF4-FFF2-40B4-BE49-F238E27FC236}">
                <a16:creationId xmlns:a16="http://schemas.microsoft.com/office/drawing/2014/main" id="{00000000-0008-0000-0300-00004E580000}"/>
              </a:ext>
            </a:extLst>
          </xdr:cNvPr>
          <xdr:cNvSpPr>
            <a:spLocks noChangeShapeType="1"/>
          </xdr:cNvSpPr>
        </xdr:nvSpPr>
        <xdr:spPr bwMode="auto">
          <a:xfrm>
            <a:off x="298" y="1176"/>
            <a:ext cx="7" cy="7"/>
          </a:xfrm>
          <a:prstGeom prst="line">
            <a:avLst/>
          </a:prstGeom>
          <a:noFill/>
          <a:ln w="9525">
            <a:solidFill>
              <a:srgbClr val="00FFFF"/>
            </a:solidFill>
            <a:round/>
            <a:headEnd/>
            <a:tailEnd/>
          </a:ln>
        </xdr:spPr>
      </xdr:sp>
    </xdr:grpSp>
    <xdr:clientData/>
  </xdr:twoCellAnchor>
  <xdr:twoCellAnchor>
    <xdr:from>
      <xdr:col>71</xdr:col>
      <xdr:colOff>104775</xdr:colOff>
      <xdr:row>61</xdr:row>
      <xdr:rowOff>19050</xdr:rowOff>
    </xdr:from>
    <xdr:to>
      <xdr:col>74</xdr:col>
      <xdr:colOff>104775</xdr:colOff>
      <xdr:row>61</xdr:row>
      <xdr:rowOff>85725</xdr:rowOff>
    </xdr:to>
    <xdr:grpSp>
      <xdr:nvGrpSpPr>
        <xdr:cNvPr id="22607" name="Group 79">
          <a:extLst>
            <a:ext uri="{FF2B5EF4-FFF2-40B4-BE49-F238E27FC236}">
              <a16:creationId xmlns:a16="http://schemas.microsoft.com/office/drawing/2014/main" id="{00000000-0008-0000-0300-00004F580000}"/>
            </a:ext>
          </a:extLst>
        </xdr:cNvPr>
        <xdr:cNvGrpSpPr>
          <a:grpSpLocks/>
        </xdr:cNvGrpSpPr>
      </xdr:nvGrpSpPr>
      <xdr:grpSpPr bwMode="auto">
        <a:xfrm>
          <a:off x="8905875" y="9505950"/>
          <a:ext cx="371475" cy="66675"/>
          <a:chOff x="283" y="1176"/>
          <a:chExt cx="36" cy="7"/>
        </a:xfrm>
      </xdr:grpSpPr>
      <xdr:sp macro="" textlink="">
        <xdr:nvSpPr>
          <xdr:cNvPr id="22608" name="Line 80">
            <a:extLst>
              <a:ext uri="{FF2B5EF4-FFF2-40B4-BE49-F238E27FC236}">
                <a16:creationId xmlns:a16="http://schemas.microsoft.com/office/drawing/2014/main" id="{00000000-0008-0000-0300-000050580000}"/>
              </a:ext>
            </a:extLst>
          </xdr:cNvPr>
          <xdr:cNvSpPr>
            <a:spLocks noChangeShapeType="1"/>
          </xdr:cNvSpPr>
        </xdr:nvSpPr>
        <xdr:spPr bwMode="auto">
          <a:xfrm>
            <a:off x="283" y="1179"/>
            <a:ext cx="36" cy="0"/>
          </a:xfrm>
          <a:prstGeom prst="line">
            <a:avLst/>
          </a:prstGeom>
          <a:noFill/>
          <a:ln w="9525">
            <a:solidFill>
              <a:srgbClr val="00FFFF"/>
            </a:solidFill>
            <a:round/>
            <a:headEnd/>
            <a:tailEnd/>
          </a:ln>
        </xdr:spPr>
      </xdr:sp>
      <xdr:sp macro="" textlink="">
        <xdr:nvSpPr>
          <xdr:cNvPr id="22609" name="Line 81">
            <a:extLst>
              <a:ext uri="{FF2B5EF4-FFF2-40B4-BE49-F238E27FC236}">
                <a16:creationId xmlns:a16="http://schemas.microsoft.com/office/drawing/2014/main" id="{00000000-0008-0000-0300-000051580000}"/>
              </a:ext>
            </a:extLst>
          </xdr:cNvPr>
          <xdr:cNvSpPr>
            <a:spLocks noChangeShapeType="1"/>
          </xdr:cNvSpPr>
        </xdr:nvSpPr>
        <xdr:spPr bwMode="auto">
          <a:xfrm flipV="1">
            <a:off x="297" y="1176"/>
            <a:ext cx="7" cy="7"/>
          </a:xfrm>
          <a:prstGeom prst="line">
            <a:avLst/>
          </a:prstGeom>
          <a:noFill/>
          <a:ln w="9525">
            <a:solidFill>
              <a:srgbClr val="00FFFF"/>
            </a:solidFill>
            <a:round/>
            <a:headEnd/>
            <a:tailEnd/>
          </a:ln>
        </xdr:spPr>
      </xdr:sp>
      <xdr:sp macro="" textlink="">
        <xdr:nvSpPr>
          <xdr:cNvPr id="22610" name="Line 82">
            <a:extLst>
              <a:ext uri="{FF2B5EF4-FFF2-40B4-BE49-F238E27FC236}">
                <a16:creationId xmlns:a16="http://schemas.microsoft.com/office/drawing/2014/main" id="{00000000-0008-0000-0300-000052580000}"/>
              </a:ext>
            </a:extLst>
          </xdr:cNvPr>
          <xdr:cNvSpPr>
            <a:spLocks noChangeShapeType="1"/>
          </xdr:cNvSpPr>
        </xdr:nvSpPr>
        <xdr:spPr bwMode="auto">
          <a:xfrm>
            <a:off x="298" y="1176"/>
            <a:ext cx="7" cy="7"/>
          </a:xfrm>
          <a:prstGeom prst="line">
            <a:avLst/>
          </a:prstGeom>
          <a:noFill/>
          <a:ln w="9525">
            <a:solidFill>
              <a:srgbClr val="00FFFF"/>
            </a:solidFill>
            <a:round/>
            <a:headEnd/>
            <a:tailEnd/>
          </a:ln>
        </xdr:spPr>
      </xdr:sp>
    </xdr:grpSp>
    <xdr:clientData/>
  </xdr:twoCellAnchor>
  <xdr:twoCellAnchor>
    <xdr:from>
      <xdr:col>71</xdr:col>
      <xdr:colOff>95250</xdr:colOff>
      <xdr:row>61</xdr:row>
      <xdr:rowOff>142875</xdr:rowOff>
    </xdr:from>
    <xdr:to>
      <xdr:col>74</xdr:col>
      <xdr:colOff>95250</xdr:colOff>
      <xdr:row>62</xdr:row>
      <xdr:rowOff>85725</xdr:rowOff>
    </xdr:to>
    <xdr:grpSp>
      <xdr:nvGrpSpPr>
        <xdr:cNvPr id="22611" name="Group 83">
          <a:extLst>
            <a:ext uri="{FF2B5EF4-FFF2-40B4-BE49-F238E27FC236}">
              <a16:creationId xmlns:a16="http://schemas.microsoft.com/office/drawing/2014/main" id="{00000000-0008-0000-0300-000053580000}"/>
            </a:ext>
          </a:extLst>
        </xdr:cNvPr>
        <xdr:cNvGrpSpPr>
          <a:grpSpLocks/>
        </xdr:cNvGrpSpPr>
      </xdr:nvGrpSpPr>
      <xdr:grpSpPr bwMode="auto">
        <a:xfrm>
          <a:off x="8896350" y="9629775"/>
          <a:ext cx="371475" cy="95250"/>
          <a:chOff x="863" y="1012"/>
          <a:chExt cx="36" cy="10"/>
        </a:xfrm>
      </xdr:grpSpPr>
      <xdr:sp macro="" textlink="">
        <xdr:nvSpPr>
          <xdr:cNvPr id="22612" name="Line 84">
            <a:extLst>
              <a:ext uri="{FF2B5EF4-FFF2-40B4-BE49-F238E27FC236}">
                <a16:creationId xmlns:a16="http://schemas.microsoft.com/office/drawing/2014/main" id="{00000000-0008-0000-0300-000054580000}"/>
              </a:ext>
            </a:extLst>
          </xdr:cNvPr>
          <xdr:cNvSpPr>
            <a:spLocks noChangeShapeType="1"/>
          </xdr:cNvSpPr>
        </xdr:nvSpPr>
        <xdr:spPr bwMode="auto">
          <a:xfrm>
            <a:off x="863" y="1016"/>
            <a:ext cx="36" cy="0"/>
          </a:xfrm>
          <a:prstGeom prst="line">
            <a:avLst/>
          </a:prstGeom>
          <a:noFill/>
          <a:ln w="9525">
            <a:solidFill>
              <a:srgbClr val="993366"/>
            </a:solidFill>
            <a:round/>
            <a:headEnd/>
            <a:tailEnd/>
          </a:ln>
        </xdr:spPr>
      </xdr:sp>
      <xdr:sp macro="" textlink="">
        <xdr:nvSpPr>
          <xdr:cNvPr id="22613" name="Line 85">
            <a:extLst>
              <a:ext uri="{FF2B5EF4-FFF2-40B4-BE49-F238E27FC236}">
                <a16:creationId xmlns:a16="http://schemas.microsoft.com/office/drawing/2014/main" id="{00000000-0008-0000-0300-000055580000}"/>
              </a:ext>
            </a:extLst>
          </xdr:cNvPr>
          <xdr:cNvSpPr>
            <a:spLocks noChangeShapeType="1"/>
          </xdr:cNvSpPr>
        </xdr:nvSpPr>
        <xdr:spPr bwMode="auto">
          <a:xfrm flipV="1">
            <a:off x="878" y="1014"/>
            <a:ext cx="6" cy="6"/>
          </a:xfrm>
          <a:prstGeom prst="line">
            <a:avLst/>
          </a:prstGeom>
          <a:noFill/>
          <a:ln w="9525">
            <a:solidFill>
              <a:srgbClr val="993366"/>
            </a:solidFill>
            <a:round/>
            <a:headEnd/>
            <a:tailEnd/>
          </a:ln>
        </xdr:spPr>
      </xdr:sp>
      <xdr:sp macro="" textlink="">
        <xdr:nvSpPr>
          <xdr:cNvPr id="22614" name="Line 86">
            <a:extLst>
              <a:ext uri="{FF2B5EF4-FFF2-40B4-BE49-F238E27FC236}">
                <a16:creationId xmlns:a16="http://schemas.microsoft.com/office/drawing/2014/main" id="{00000000-0008-0000-0300-000056580000}"/>
              </a:ext>
            </a:extLst>
          </xdr:cNvPr>
          <xdr:cNvSpPr>
            <a:spLocks noChangeShapeType="1"/>
          </xdr:cNvSpPr>
        </xdr:nvSpPr>
        <xdr:spPr bwMode="auto">
          <a:xfrm>
            <a:off x="877" y="1013"/>
            <a:ext cx="7" cy="7"/>
          </a:xfrm>
          <a:prstGeom prst="line">
            <a:avLst/>
          </a:prstGeom>
          <a:noFill/>
          <a:ln w="9525">
            <a:solidFill>
              <a:srgbClr val="993366"/>
            </a:solidFill>
            <a:round/>
            <a:headEnd/>
            <a:tailEnd/>
          </a:ln>
        </xdr:spPr>
      </xdr:sp>
      <xdr:sp macro="" textlink="">
        <xdr:nvSpPr>
          <xdr:cNvPr id="22615" name="Line 87">
            <a:extLst>
              <a:ext uri="{FF2B5EF4-FFF2-40B4-BE49-F238E27FC236}">
                <a16:creationId xmlns:a16="http://schemas.microsoft.com/office/drawing/2014/main" id="{00000000-0008-0000-0300-000057580000}"/>
              </a:ext>
            </a:extLst>
          </xdr:cNvPr>
          <xdr:cNvSpPr>
            <a:spLocks noChangeShapeType="1"/>
          </xdr:cNvSpPr>
        </xdr:nvSpPr>
        <xdr:spPr bwMode="auto">
          <a:xfrm>
            <a:off x="880" y="1012"/>
            <a:ext cx="1" cy="10"/>
          </a:xfrm>
          <a:prstGeom prst="line">
            <a:avLst/>
          </a:prstGeom>
          <a:noFill/>
          <a:ln w="9525">
            <a:solidFill>
              <a:srgbClr val="993366"/>
            </a:solidFill>
            <a:round/>
            <a:headEnd/>
            <a:tailEnd/>
          </a:ln>
        </xdr:spPr>
      </xdr:sp>
    </xdr:grpSp>
    <xdr:clientData/>
  </xdr:twoCellAnchor>
  <xdr:twoCellAnchor>
    <xdr:from>
      <xdr:col>70</xdr:col>
      <xdr:colOff>9525</xdr:colOff>
      <xdr:row>70</xdr:row>
      <xdr:rowOff>114300</xdr:rowOff>
    </xdr:from>
    <xdr:to>
      <xdr:col>72</xdr:col>
      <xdr:colOff>85725</xdr:colOff>
      <xdr:row>71</xdr:row>
      <xdr:rowOff>38100</xdr:rowOff>
    </xdr:to>
    <xdr:grpSp>
      <xdr:nvGrpSpPr>
        <xdr:cNvPr id="22616" name="Group 88">
          <a:extLst>
            <a:ext uri="{FF2B5EF4-FFF2-40B4-BE49-F238E27FC236}">
              <a16:creationId xmlns:a16="http://schemas.microsoft.com/office/drawing/2014/main" id="{00000000-0008-0000-0300-000058580000}"/>
            </a:ext>
          </a:extLst>
        </xdr:cNvPr>
        <xdr:cNvGrpSpPr>
          <a:grpSpLocks/>
        </xdr:cNvGrpSpPr>
      </xdr:nvGrpSpPr>
      <xdr:grpSpPr bwMode="auto">
        <a:xfrm>
          <a:off x="8686800" y="10972800"/>
          <a:ext cx="323850" cy="76200"/>
          <a:chOff x="282" y="1163"/>
          <a:chExt cx="32" cy="8"/>
        </a:xfrm>
      </xdr:grpSpPr>
      <xdr:sp macro="" textlink="">
        <xdr:nvSpPr>
          <xdr:cNvPr id="22617" name="Line 89">
            <a:extLst>
              <a:ext uri="{FF2B5EF4-FFF2-40B4-BE49-F238E27FC236}">
                <a16:creationId xmlns:a16="http://schemas.microsoft.com/office/drawing/2014/main" id="{00000000-0008-0000-0300-000059580000}"/>
              </a:ext>
            </a:extLst>
          </xdr:cNvPr>
          <xdr:cNvSpPr>
            <a:spLocks noChangeShapeType="1"/>
          </xdr:cNvSpPr>
        </xdr:nvSpPr>
        <xdr:spPr bwMode="auto">
          <a:xfrm>
            <a:off x="282" y="1168"/>
            <a:ext cx="32" cy="0"/>
          </a:xfrm>
          <a:prstGeom prst="line">
            <a:avLst/>
          </a:prstGeom>
          <a:noFill/>
          <a:ln w="9525">
            <a:solidFill>
              <a:srgbClr val="FFFF00"/>
            </a:solidFill>
            <a:round/>
            <a:headEnd/>
            <a:tailEnd/>
          </a:ln>
        </xdr:spPr>
      </xdr:sp>
      <xdr:sp macro="" textlink="">
        <xdr:nvSpPr>
          <xdr:cNvPr id="22618" name="AutoShape 90">
            <a:extLst>
              <a:ext uri="{FF2B5EF4-FFF2-40B4-BE49-F238E27FC236}">
                <a16:creationId xmlns:a16="http://schemas.microsoft.com/office/drawing/2014/main" id="{00000000-0008-0000-0300-00005A580000}"/>
              </a:ext>
            </a:extLst>
          </xdr:cNvPr>
          <xdr:cNvSpPr>
            <a:spLocks noChangeArrowheads="1"/>
          </xdr:cNvSpPr>
        </xdr:nvSpPr>
        <xdr:spPr bwMode="auto">
          <a:xfrm>
            <a:off x="295" y="1163"/>
            <a:ext cx="8" cy="8"/>
          </a:xfrm>
          <a:prstGeom prst="flowChartExtract">
            <a:avLst/>
          </a:prstGeom>
          <a:solidFill>
            <a:srgbClr val="FFFF00"/>
          </a:solidFill>
          <a:ln w="9525">
            <a:solidFill>
              <a:srgbClr val="FFFF00"/>
            </a:solidFill>
            <a:miter lim="800000"/>
            <a:headEnd/>
            <a:tailEnd/>
          </a:ln>
        </xdr:spPr>
      </xdr:sp>
    </xdr:grpSp>
    <xdr:clientData/>
  </xdr:twoCellAnchor>
  <xdr:twoCellAnchor>
    <xdr:from>
      <xdr:col>70</xdr:col>
      <xdr:colOff>19050</xdr:colOff>
      <xdr:row>71</xdr:row>
      <xdr:rowOff>85725</xdr:rowOff>
    </xdr:from>
    <xdr:to>
      <xdr:col>73</xdr:col>
      <xdr:colOff>19050</xdr:colOff>
      <xdr:row>72</xdr:row>
      <xdr:rowOff>0</xdr:rowOff>
    </xdr:to>
    <xdr:grpSp>
      <xdr:nvGrpSpPr>
        <xdr:cNvPr id="22619" name="Group 91">
          <a:extLst>
            <a:ext uri="{FF2B5EF4-FFF2-40B4-BE49-F238E27FC236}">
              <a16:creationId xmlns:a16="http://schemas.microsoft.com/office/drawing/2014/main" id="{00000000-0008-0000-0300-00005B580000}"/>
            </a:ext>
          </a:extLst>
        </xdr:cNvPr>
        <xdr:cNvGrpSpPr>
          <a:grpSpLocks/>
        </xdr:cNvGrpSpPr>
      </xdr:nvGrpSpPr>
      <xdr:grpSpPr bwMode="auto">
        <a:xfrm>
          <a:off x="8696325" y="11096625"/>
          <a:ext cx="371475" cy="66675"/>
          <a:chOff x="283" y="1176"/>
          <a:chExt cx="36" cy="7"/>
        </a:xfrm>
      </xdr:grpSpPr>
      <xdr:sp macro="" textlink="">
        <xdr:nvSpPr>
          <xdr:cNvPr id="22620" name="Line 92">
            <a:extLst>
              <a:ext uri="{FF2B5EF4-FFF2-40B4-BE49-F238E27FC236}">
                <a16:creationId xmlns:a16="http://schemas.microsoft.com/office/drawing/2014/main" id="{00000000-0008-0000-0300-00005C580000}"/>
              </a:ext>
            </a:extLst>
          </xdr:cNvPr>
          <xdr:cNvSpPr>
            <a:spLocks noChangeShapeType="1"/>
          </xdr:cNvSpPr>
        </xdr:nvSpPr>
        <xdr:spPr bwMode="auto">
          <a:xfrm>
            <a:off x="283" y="1179"/>
            <a:ext cx="36" cy="0"/>
          </a:xfrm>
          <a:prstGeom prst="line">
            <a:avLst/>
          </a:prstGeom>
          <a:noFill/>
          <a:ln w="9525">
            <a:solidFill>
              <a:srgbClr val="00FFFF"/>
            </a:solidFill>
            <a:round/>
            <a:headEnd/>
            <a:tailEnd/>
          </a:ln>
        </xdr:spPr>
      </xdr:sp>
      <xdr:sp macro="" textlink="">
        <xdr:nvSpPr>
          <xdr:cNvPr id="22621" name="Line 93">
            <a:extLst>
              <a:ext uri="{FF2B5EF4-FFF2-40B4-BE49-F238E27FC236}">
                <a16:creationId xmlns:a16="http://schemas.microsoft.com/office/drawing/2014/main" id="{00000000-0008-0000-0300-00005D580000}"/>
              </a:ext>
            </a:extLst>
          </xdr:cNvPr>
          <xdr:cNvSpPr>
            <a:spLocks noChangeShapeType="1"/>
          </xdr:cNvSpPr>
        </xdr:nvSpPr>
        <xdr:spPr bwMode="auto">
          <a:xfrm flipV="1">
            <a:off x="297" y="1176"/>
            <a:ext cx="7" cy="7"/>
          </a:xfrm>
          <a:prstGeom prst="line">
            <a:avLst/>
          </a:prstGeom>
          <a:noFill/>
          <a:ln w="9525">
            <a:solidFill>
              <a:srgbClr val="00FFFF"/>
            </a:solidFill>
            <a:round/>
            <a:headEnd/>
            <a:tailEnd/>
          </a:ln>
        </xdr:spPr>
      </xdr:sp>
      <xdr:sp macro="" textlink="">
        <xdr:nvSpPr>
          <xdr:cNvPr id="22622" name="Line 94">
            <a:extLst>
              <a:ext uri="{FF2B5EF4-FFF2-40B4-BE49-F238E27FC236}">
                <a16:creationId xmlns:a16="http://schemas.microsoft.com/office/drawing/2014/main" id="{00000000-0008-0000-0300-00005E580000}"/>
              </a:ext>
            </a:extLst>
          </xdr:cNvPr>
          <xdr:cNvSpPr>
            <a:spLocks noChangeShapeType="1"/>
          </xdr:cNvSpPr>
        </xdr:nvSpPr>
        <xdr:spPr bwMode="auto">
          <a:xfrm>
            <a:off x="298" y="1176"/>
            <a:ext cx="7" cy="7"/>
          </a:xfrm>
          <a:prstGeom prst="line">
            <a:avLst/>
          </a:prstGeom>
          <a:noFill/>
          <a:ln w="9525">
            <a:solidFill>
              <a:srgbClr val="00FFFF"/>
            </a:solidFill>
            <a:round/>
            <a:headEnd/>
            <a:tailEnd/>
          </a:ln>
        </xdr:spPr>
      </xdr:sp>
    </xdr:grpSp>
    <xdr:clientData/>
  </xdr:twoCellAnchor>
  <xdr:twoCellAnchor>
    <xdr:from>
      <xdr:col>23</xdr:col>
      <xdr:colOff>0</xdr:colOff>
      <xdr:row>71</xdr:row>
      <xdr:rowOff>85725</xdr:rowOff>
    </xdr:from>
    <xdr:to>
      <xdr:col>25</xdr:col>
      <xdr:colOff>76200</xdr:colOff>
      <xdr:row>72</xdr:row>
      <xdr:rowOff>9525</xdr:rowOff>
    </xdr:to>
    <xdr:grpSp>
      <xdr:nvGrpSpPr>
        <xdr:cNvPr id="22623" name="Group 95">
          <a:extLst>
            <a:ext uri="{FF2B5EF4-FFF2-40B4-BE49-F238E27FC236}">
              <a16:creationId xmlns:a16="http://schemas.microsoft.com/office/drawing/2014/main" id="{00000000-0008-0000-0300-00005F580000}"/>
            </a:ext>
          </a:extLst>
        </xdr:cNvPr>
        <xdr:cNvGrpSpPr>
          <a:grpSpLocks/>
        </xdr:cNvGrpSpPr>
      </xdr:nvGrpSpPr>
      <xdr:grpSpPr bwMode="auto">
        <a:xfrm>
          <a:off x="2867025" y="11096625"/>
          <a:ext cx="323850" cy="76200"/>
          <a:chOff x="282" y="1163"/>
          <a:chExt cx="32" cy="8"/>
        </a:xfrm>
      </xdr:grpSpPr>
      <xdr:sp macro="" textlink="">
        <xdr:nvSpPr>
          <xdr:cNvPr id="22624" name="Line 96">
            <a:extLst>
              <a:ext uri="{FF2B5EF4-FFF2-40B4-BE49-F238E27FC236}">
                <a16:creationId xmlns:a16="http://schemas.microsoft.com/office/drawing/2014/main" id="{00000000-0008-0000-0300-000060580000}"/>
              </a:ext>
            </a:extLst>
          </xdr:cNvPr>
          <xdr:cNvSpPr>
            <a:spLocks noChangeShapeType="1"/>
          </xdr:cNvSpPr>
        </xdr:nvSpPr>
        <xdr:spPr bwMode="auto">
          <a:xfrm>
            <a:off x="282" y="1168"/>
            <a:ext cx="32" cy="0"/>
          </a:xfrm>
          <a:prstGeom prst="line">
            <a:avLst/>
          </a:prstGeom>
          <a:noFill/>
          <a:ln w="9525">
            <a:solidFill>
              <a:srgbClr val="FFFF00"/>
            </a:solidFill>
            <a:round/>
            <a:headEnd/>
            <a:tailEnd/>
          </a:ln>
        </xdr:spPr>
      </xdr:sp>
      <xdr:sp macro="" textlink="">
        <xdr:nvSpPr>
          <xdr:cNvPr id="22625" name="AutoShape 97">
            <a:extLst>
              <a:ext uri="{FF2B5EF4-FFF2-40B4-BE49-F238E27FC236}">
                <a16:creationId xmlns:a16="http://schemas.microsoft.com/office/drawing/2014/main" id="{00000000-0008-0000-0300-000061580000}"/>
              </a:ext>
            </a:extLst>
          </xdr:cNvPr>
          <xdr:cNvSpPr>
            <a:spLocks noChangeArrowheads="1"/>
          </xdr:cNvSpPr>
        </xdr:nvSpPr>
        <xdr:spPr bwMode="auto">
          <a:xfrm>
            <a:off x="295" y="1163"/>
            <a:ext cx="8" cy="8"/>
          </a:xfrm>
          <a:prstGeom prst="flowChartExtract">
            <a:avLst/>
          </a:prstGeom>
          <a:solidFill>
            <a:srgbClr val="FFFF00"/>
          </a:solidFill>
          <a:ln w="9525">
            <a:solidFill>
              <a:srgbClr val="FFFF00"/>
            </a:solidFill>
            <a:miter lim="800000"/>
            <a:headEnd/>
            <a:tailEnd/>
          </a:ln>
        </xdr:spPr>
      </xdr:sp>
    </xdr:grpSp>
    <xdr:clientData/>
  </xdr:twoCellAnchor>
  <xdr:twoCellAnchor>
    <xdr:from>
      <xdr:col>23</xdr:col>
      <xdr:colOff>9525</xdr:colOff>
      <xdr:row>72</xdr:row>
      <xdr:rowOff>57150</xdr:rowOff>
    </xdr:from>
    <xdr:to>
      <xdr:col>26</xdr:col>
      <xdr:colOff>9525</xdr:colOff>
      <xdr:row>72</xdr:row>
      <xdr:rowOff>123825</xdr:rowOff>
    </xdr:to>
    <xdr:grpSp>
      <xdr:nvGrpSpPr>
        <xdr:cNvPr id="22626" name="Group 98">
          <a:extLst>
            <a:ext uri="{FF2B5EF4-FFF2-40B4-BE49-F238E27FC236}">
              <a16:creationId xmlns:a16="http://schemas.microsoft.com/office/drawing/2014/main" id="{00000000-0008-0000-0300-000062580000}"/>
            </a:ext>
          </a:extLst>
        </xdr:cNvPr>
        <xdr:cNvGrpSpPr>
          <a:grpSpLocks/>
        </xdr:cNvGrpSpPr>
      </xdr:nvGrpSpPr>
      <xdr:grpSpPr bwMode="auto">
        <a:xfrm>
          <a:off x="2876550" y="11220450"/>
          <a:ext cx="371475" cy="66675"/>
          <a:chOff x="283" y="1176"/>
          <a:chExt cx="36" cy="7"/>
        </a:xfrm>
      </xdr:grpSpPr>
      <xdr:sp macro="" textlink="">
        <xdr:nvSpPr>
          <xdr:cNvPr id="22627" name="Line 99">
            <a:extLst>
              <a:ext uri="{FF2B5EF4-FFF2-40B4-BE49-F238E27FC236}">
                <a16:creationId xmlns:a16="http://schemas.microsoft.com/office/drawing/2014/main" id="{00000000-0008-0000-0300-000063580000}"/>
              </a:ext>
            </a:extLst>
          </xdr:cNvPr>
          <xdr:cNvSpPr>
            <a:spLocks noChangeShapeType="1"/>
          </xdr:cNvSpPr>
        </xdr:nvSpPr>
        <xdr:spPr bwMode="auto">
          <a:xfrm>
            <a:off x="283" y="1179"/>
            <a:ext cx="36" cy="0"/>
          </a:xfrm>
          <a:prstGeom prst="line">
            <a:avLst/>
          </a:prstGeom>
          <a:noFill/>
          <a:ln w="9525">
            <a:solidFill>
              <a:srgbClr val="00FFFF"/>
            </a:solidFill>
            <a:round/>
            <a:headEnd/>
            <a:tailEnd/>
          </a:ln>
        </xdr:spPr>
      </xdr:sp>
      <xdr:sp macro="" textlink="">
        <xdr:nvSpPr>
          <xdr:cNvPr id="22628" name="Line 100">
            <a:extLst>
              <a:ext uri="{FF2B5EF4-FFF2-40B4-BE49-F238E27FC236}">
                <a16:creationId xmlns:a16="http://schemas.microsoft.com/office/drawing/2014/main" id="{00000000-0008-0000-0300-000064580000}"/>
              </a:ext>
            </a:extLst>
          </xdr:cNvPr>
          <xdr:cNvSpPr>
            <a:spLocks noChangeShapeType="1"/>
          </xdr:cNvSpPr>
        </xdr:nvSpPr>
        <xdr:spPr bwMode="auto">
          <a:xfrm flipV="1">
            <a:off x="297" y="1176"/>
            <a:ext cx="7" cy="7"/>
          </a:xfrm>
          <a:prstGeom prst="line">
            <a:avLst/>
          </a:prstGeom>
          <a:noFill/>
          <a:ln w="9525">
            <a:solidFill>
              <a:srgbClr val="00FFFF"/>
            </a:solidFill>
            <a:round/>
            <a:headEnd/>
            <a:tailEnd/>
          </a:ln>
        </xdr:spPr>
      </xdr:sp>
      <xdr:sp macro="" textlink="">
        <xdr:nvSpPr>
          <xdr:cNvPr id="22629" name="Line 101">
            <a:extLst>
              <a:ext uri="{FF2B5EF4-FFF2-40B4-BE49-F238E27FC236}">
                <a16:creationId xmlns:a16="http://schemas.microsoft.com/office/drawing/2014/main" id="{00000000-0008-0000-0300-000065580000}"/>
              </a:ext>
            </a:extLst>
          </xdr:cNvPr>
          <xdr:cNvSpPr>
            <a:spLocks noChangeShapeType="1"/>
          </xdr:cNvSpPr>
        </xdr:nvSpPr>
        <xdr:spPr bwMode="auto">
          <a:xfrm>
            <a:off x="298" y="1176"/>
            <a:ext cx="7" cy="7"/>
          </a:xfrm>
          <a:prstGeom prst="line">
            <a:avLst/>
          </a:prstGeom>
          <a:noFill/>
          <a:ln w="9525">
            <a:solidFill>
              <a:srgbClr val="00FFFF"/>
            </a:solidFill>
            <a:round/>
            <a:headEnd/>
            <a:tailEnd/>
          </a:ln>
        </xdr:spPr>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48</xdr:row>
      <xdr:rowOff>0</xdr:rowOff>
    </xdr:from>
    <xdr:to>
      <xdr:col>1</xdr:col>
      <xdr:colOff>723900</xdr:colOff>
      <xdr:row>48</xdr:row>
      <xdr:rowOff>0</xdr:rowOff>
    </xdr:to>
    <xdr:sp macro="" textlink="">
      <xdr:nvSpPr>
        <xdr:cNvPr id="11265" name="テキスト 1">
          <a:extLst>
            <a:ext uri="{FF2B5EF4-FFF2-40B4-BE49-F238E27FC236}">
              <a16:creationId xmlns:a16="http://schemas.microsoft.com/office/drawing/2014/main" id="{00000000-0008-0000-0400-0000012C0000}"/>
            </a:ext>
          </a:extLst>
        </xdr:cNvPr>
        <xdr:cNvSpPr txBox="1">
          <a:spLocks noChangeArrowheads="1"/>
        </xdr:cNvSpPr>
      </xdr:nvSpPr>
      <xdr:spPr bwMode="auto">
        <a:xfrm>
          <a:off x="180975" y="7658100"/>
          <a:ext cx="723900" cy="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ＭＳ ゴシック"/>
              <a:ea typeface="ＭＳ ゴシック"/>
            </a:rPr>
            <a:t>UI/SS</a:t>
          </a:r>
        </a:p>
      </xdr:txBody>
    </xdr:sp>
    <xdr:clientData/>
  </xdr:twoCellAnchor>
  <xdr:twoCellAnchor>
    <xdr:from>
      <xdr:col>1</xdr:col>
      <xdr:colOff>742950</xdr:colOff>
      <xdr:row>48</xdr:row>
      <xdr:rowOff>0</xdr:rowOff>
    </xdr:from>
    <xdr:to>
      <xdr:col>15</xdr:col>
      <xdr:colOff>19050</xdr:colOff>
      <xdr:row>48</xdr:row>
      <xdr:rowOff>0</xdr:rowOff>
    </xdr:to>
    <xdr:graphicFrame macro="">
      <xdr:nvGraphicFramePr>
        <xdr:cNvPr id="11266" name="Chart 2">
          <a:extLst>
            <a:ext uri="{FF2B5EF4-FFF2-40B4-BE49-F238E27FC236}">
              <a16:creationId xmlns:a16="http://schemas.microsoft.com/office/drawing/2014/main" id="{00000000-0008-0000-0400-000002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600075</xdr:colOff>
      <xdr:row>48</xdr:row>
      <xdr:rowOff>0</xdr:rowOff>
    </xdr:from>
    <xdr:to>
      <xdr:col>17</xdr:col>
      <xdr:colOff>314325</xdr:colOff>
      <xdr:row>48</xdr:row>
      <xdr:rowOff>0</xdr:rowOff>
    </xdr:to>
    <xdr:graphicFrame macro="">
      <xdr:nvGraphicFramePr>
        <xdr:cNvPr id="11267" name="Chart 3">
          <a:extLst>
            <a:ext uri="{FF2B5EF4-FFF2-40B4-BE49-F238E27FC236}">
              <a16:creationId xmlns:a16="http://schemas.microsoft.com/office/drawing/2014/main" id="{00000000-0008-0000-0400-000003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600075</xdr:colOff>
      <xdr:row>48</xdr:row>
      <xdr:rowOff>0</xdr:rowOff>
    </xdr:from>
    <xdr:to>
      <xdr:col>18</xdr:col>
      <xdr:colOff>0</xdr:colOff>
      <xdr:row>48</xdr:row>
      <xdr:rowOff>0</xdr:rowOff>
    </xdr:to>
    <xdr:graphicFrame macro="">
      <xdr:nvGraphicFramePr>
        <xdr:cNvPr id="11268" name="Chart 4">
          <a:extLst>
            <a:ext uri="{FF2B5EF4-FFF2-40B4-BE49-F238E27FC236}">
              <a16:creationId xmlns:a16="http://schemas.microsoft.com/office/drawing/2014/main" id="{00000000-0008-0000-0400-000004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304800</xdr:colOff>
      <xdr:row>62</xdr:row>
      <xdr:rowOff>47625</xdr:rowOff>
    </xdr:from>
    <xdr:to>
      <xdr:col>31</xdr:col>
      <xdr:colOff>28575</xdr:colOff>
      <xdr:row>72</xdr:row>
      <xdr:rowOff>85725</xdr:rowOff>
    </xdr:to>
    <xdr:sp macro="" textlink="">
      <xdr:nvSpPr>
        <xdr:cNvPr id="11269" name="Text Box 5">
          <a:extLst>
            <a:ext uri="{FF2B5EF4-FFF2-40B4-BE49-F238E27FC236}">
              <a16:creationId xmlns:a16="http://schemas.microsoft.com/office/drawing/2014/main" id="{00000000-0008-0000-0400-0000052C0000}"/>
            </a:ext>
          </a:extLst>
        </xdr:cNvPr>
        <xdr:cNvSpPr txBox="1">
          <a:spLocks noChangeArrowheads="1"/>
        </xdr:cNvSpPr>
      </xdr:nvSpPr>
      <xdr:spPr bwMode="auto">
        <a:xfrm>
          <a:off x="7077075" y="10039350"/>
          <a:ext cx="5438775" cy="1590675"/>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900" b="1" i="0" u="sng" strike="noStrike" baseline="0">
              <a:solidFill>
                <a:srgbClr val="000000"/>
              </a:solidFill>
              <a:latin typeface="Arial"/>
              <a:cs typeface="Arial"/>
            </a:rPr>
            <a:t>This week actions</a:t>
          </a:r>
          <a:endParaRPr lang="en-US" sz="900" b="0" i="0" u="sng"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1) Started and finished programming 2 functions, and tested 4 functions</a:t>
          </a:r>
        </a:p>
        <a:p>
          <a:pPr algn="l" rtl="0">
            <a:defRPr sz="1000"/>
          </a:pPr>
          <a:r>
            <a:rPr lang="en-US" sz="900" b="0" i="0" u="none" strike="noStrike" baseline="0">
              <a:solidFill>
                <a:srgbClr val="000000"/>
              </a:solidFill>
              <a:latin typeface="Arial"/>
              <a:cs typeface="Arial"/>
            </a:rPr>
            <a:t>    --&gt; Accum result / Accum plan = 205 / 207 = 99.03%</a:t>
          </a:r>
        </a:p>
        <a:p>
          <a:pPr algn="l" rtl="0">
            <a:defRPr sz="1000"/>
          </a:pPr>
          <a:r>
            <a:rPr lang="en-US" sz="900" b="0" i="0" u="none" strike="noStrike" baseline="0">
              <a:solidFill>
                <a:srgbClr val="000000"/>
              </a:solidFill>
              <a:latin typeface="Arial"/>
              <a:cs typeface="Arial"/>
            </a:rPr>
            <a:t>    --&gt; Accum result / Total = 205 / 219 = 93.60%</a:t>
          </a:r>
        </a:p>
        <a:p>
          <a:pPr algn="l" rtl="0">
            <a:defRPr sz="1000"/>
          </a:pPr>
          <a:r>
            <a:rPr lang="en-US" sz="900" b="0" i="0" u="none" strike="noStrike" baseline="0">
              <a:solidFill>
                <a:srgbClr val="000000"/>
              </a:solidFill>
              <a:latin typeface="Arial"/>
              <a:cs typeface="Arial"/>
            </a:rPr>
            <a:t>    --&gt; Accum tested items / Accum plan = 1246 / 1266 = 98.42%</a:t>
          </a:r>
        </a:p>
        <a:p>
          <a:pPr algn="l" rtl="0">
            <a:defRPr sz="1000"/>
          </a:pPr>
          <a:r>
            <a:rPr lang="en-US" sz="900" b="0" i="0" u="none" strike="noStrike" baseline="0">
              <a:solidFill>
                <a:srgbClr val="000000"/>
              </a:solidFill>
              <a:latin typeface="Arial"/>
              <a:cs typeface="Arial"/>
            </a:rPr>
            <a:t>    --&gt; Accum tested items / Total = 1246 / 1416 = 87.99%</a:t>
          </a:r>
        </a:p>
        <a:p>
          <a:pPr algn="l" rtl="0">
            <a:defRPr sz="1000"/>
          </a:pPr>
          <a:endParaRPr lang="en-US" sz="900" b="1" i="0" u="sng" strike="noStrike" baseline="0">
            <a:solidFill>
              <a:srgbClr val="000000"/>
            </a:solidFill>
            <a:latin typeface="Arial"/>
            <a:cs typeface="Arial"/>
          </a:endParaRPr>
        </a:p>
        <a:p>
          <a:pPr algn="l" rtl="0">
            <a:defRPr sz="1000"/>
          </a:pPr>
          <a:r>
            <a:rPr lang="en-US" sz="900" b="1" i="0" u="sng" strike="noStrike" baseline="0">
              <a:solidFill>
                <a:srgbClr val="000000"/>
              </a:solidFill>
              <a:latin typeface="Arial"/>
              <a:cs typeface="Arial"/>
            </a:rPr>
            <a:t>Next week actions</a:t>
          </a:r>
        </a:p>
        <a:p>
          <a:pPr algn="l" rtl="0">
            <a:defRPr sz="1000"/>
          </a:pPr>
          <a:r>
            <a:rPr lang="en-US" sz="900" b="0" i="0" u="none" strike="noStrike" baseline="0">
              <a:solidFill>
                <a:srgbClr val="000000"/>
              </a:solidFill>
              <a:latin typeface="Arial"/>
              <a:cs typeface="Arial"/>
            </a:rPr>
            <a:t>1) Start and finish programming 4 functions, and test 6 functions.</a:t>
          </a:r>
        </a:p>
        <a:p>
          <a:pPr algn="l" rtl="0">
            <a:defRPr sz="1000"/>
          </a:pPr>
          <a:r>
            <a:rPr lang="en-US" sz="900" b="0" i="0" u="none" strike="noStrike" baseline="0">
              <a:solidFill>
                <a:srgbClr val="000000"/>
              </a:solidFill>
              <a:latin typeface="Arial"/>
              <a:cs typeface="Arial"/>
            </a:rPr>
            <a:t>2) Fix 16 remained bugs.</a:t>
          </a:r>
        </a:p>
      </xdr:txBody>
    </xdr:sp>
    <xdr:clientData/>
  </xdr:twoCellAnchor>
  <xdr:twoCellAnchor>
    <xdr:from>
      <xdr:col>0</xdr:col>
      <xdr:colOff>114300</xdr:colOff>
      <xdr:row>49</xdr:row>
      <xdr:rowOff>85725</xdr:rowOff>
    </xdr:from>
    <xdr:to>
      <xdr:col>16</xdr:col>
      <xdr:colOff>152400</xdr:colOff>
      <xdr:row>76</xdr:row>
      <xdr:rowOff>0</xdr:rowOff>
    </xdr:to>
    <xdr:sp macro="" textlink="">
      <xdr:nvSpPr>
        <xdr:cNvPr id="11270" name="Rectangle 6">
          <a:extLst>
            <a:ext uri="{FF2B5EF4-FFF2-40B4-BE49-F238E27FC236}">
              <a16:creationId xmlns:a16="http://schemas.microsoft.com/office/drawing/2014/main" id="{00000000-0008-0000-0400-0000062C0000}"/>
            </a:ext>
          </a:extLst>
        </xdr:cNvPr>
        <xdr:cNvSpPr>
          <a:spLocks noChangeArrowheads="1"/>
        </xdr:cNvSpPr>
      </xdr:nvSpPr>
      <xdr:spPr bwMode="auto">
        <a:xfrm>
          <a:off x="114300" y="7829550"/>
          <a:ext cx="6810375" cy="4343400"/>
        </a:xfrm>
        <a:prstGeom prst="rect">
          <a:avLst/>
        </a:prstGeom>
        <a:noFill/>
        <a:ln w="19050">
          <a:solidFill>
            <a:srgbClr val="000000"/>
          </a:solidFill>
          <a:miter lim="800000"/>
          <a:headEnd/>
          <a:tailEnd/>
        </a:ln>
      </xdr:spPr>
    </xdr:sp>
    <xdr:clientData/>
  </xdr:twoCellAnchor>
  <xdr:twoCellAnchor>
    <xdr:from>
      <xdr:col>12</xdr:col>
      <xdr:colOff>66675</xdr:colOff>
      <xdr:row>49</xdr:row>
      <xdr:rowOff>114300</xdr:rowOff>
    </xdr:from>
    <xdr:to>
      <xdr:col>16</xdr:col>
      <xdr:colOff>85725</xdr:colOff>
      <xdr:row>52</xdr:row>
      <xdr:rowOff>133350</xdr:rowOff>
    </xdr:to>
    <xdr:sp macro="" textlink="">
      <xdr:nvSpPr>
        <xdr:cNvPr id="11271" name="Text Box 7">
          <a:extLst>
            <a:ext uri="{FF2B5EF4-FFF2-40B4-BE49-F238E27FC236}">
              <a16:creationId xmlns:a16="http://schemas.microsoft.com/office/drawing/2014/main" id="{00000000-0008-0000-0400-0000072C0000}"/>
            </a:ext>
          </a:extLst>
        </xdr:cNvPr>
        <xdr:cNvSpPr txBox="1">
          <a:spLocks noChangeArrowheads="1"/>
        </xdr:cNvSpPr>
      </xdr:nvSpPr>
      <xdr:spPr bwMode="auto">
        <a:xfrm>
          <a:off x="5257800" y="7858125"/>
          <a:ext cx="1600200" cy="5810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800" b="0" i="0" u="none" strike="noStrike" baseline="0">
              <a:solidFill>
                <a:srgbClr val="000000"/>
              </a:solidFill>
              <a:latin typeface="Arial"/>
              <a:cs typeface="Arial"/>
            </a:rPr>
            <a:t>A:Ahead of schedule</a:t>
          </a:r>
        </a:p>
        <a:p>
          <a:pPr algn="l" rtl="0">
            <a:defRPr sz="1000"/>
          </a:pPr>
          <a:r>
            <a:rPr lang="en-US" sz="800" b="0" i="0" u="none" strike="noStrike" baseline="0">
              <a:solidFill>
                <a:srgbClr val="000000"/>
              </a:solidFill>
              <a:latin typeface="Arial"/>
              <a:cs typeface="Arial"/>
            </a:rPr>
            <a:t>B:On schedule</a:t>
          </a:r>
        </a:p>
        <a:p>
          <a:pPr algn="l" rtl="0">
            <a:defRPr sz="1000"/>
          </a:pPr>
          <a:r>
            <a:rPr lang="en-US" sz="800" b="0" i="0" u="none" strike="noStrike" baseline="0">
              <a:solidFill>
                <a:srgbClr val="000000"/>
              </a:solidFill>
              <a:latin typeface="Arial"/>
              <a:cs typeface="Arial"/>
            </a:rPr>
            <a:t>C:Delay (less than 1 week)</a:t>
          </a:r>
        </a:p>
        <a:p>
          <a:pPr algn="l" rtl="0">
            <a:defRPr sz="1000"/>
          </a:pPr>
          <a:r>
            <a:rPr lang="en-US" sz="800" b="0" i="0" u="none" strike="noStrike" baseline="0">
              <a:solidFill>
                <a:srgbClr val="000000"/>
              </a:solidFill>
              <a:latin typeface="Arial"/>
              <a:cs typeface="Arial"/>
            </a:rPr>
            <a:t>D:Delay (over 1 week)</a:t>
          </a:r>
        </a:p>
      </xdr:txBody>
    </xdr:sp>
    <xdr:clientData/>
  </xdr:twoCellAnchor>
  <xdr:twoCellAnchor>
    <xdr:from>
      <xdr:col>1</xdr:col>
      <xdr:colOff>0</xdr:colOff>
      <xdr:row>48</xdr:row>
      <xdr:rowOff>0</xdr:rowOff>
    </xdr:from>
    <xdr:to>
      <xdr:col>1</xdr:col>
      <xdr:colOff>723900</xdr:colOff>
      <xdr:row>48</xdr:row>
      <xdr:rowOff>0</xdr:rowOff>
    </xdr:to>
    <xdr:sp macro="" textlink="">
      <xdr:nvSpPr>
        <xdr:cNvPr id="11272" name="テキスト 1">
          <a:extLst>
            <a:ext uri="{FF2B5EF4-FFF2-40B4-BE49-F238E27FC236}">
              <a16:creationId xmlns:a16="http://schemas.microsoft.com/office/drawing/2014/main" id="{00000000-0008-0000-0400-0000082C0000}"/>
            </a:ext>
          </a:extLst>
        </xdr:cNvPr>
        <xdr:cNvSpPr txBox="1">
          <a:spLocks noChangeArrowheads="1"/>
        </xdr:cNvSpPr>
      </xdr:nvSpPr>
      <xdr:spPr bwMode="auto">
        <a:xfrm>
          <a:off x="180975" y="7658100"/>
          <a:ext cx="723900" cy="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ＭＳ ゴシック"/>
              <a:ea typeface="ＭＳ ゴシック"/>
            </a:rPr>
            <a:t>User Review</a:t>
          </a:r>
        </a:p>
      </xdr:txBody>
    </xdr:sp>
    <xdr:clientData/>
  </xdr:twoCellAnchor>
  <xdr:twoCellAnchor>
    <xdr:from>
      <xdr:col>1</xdr:col>
      <xdr:colOff>742950</xdr:colOff>
      <xdr:row>48</xdr:row>
      <xdr:rowOff>0</xdr:rowOff>
    </xdr:from>
    <xdr:to>
      <xdr:col>34</xdr:col>
      <xdr:colOff>180975</xdr:colOff>
      <xdr:row>48</xdr:row>
      <xdr:rowOff>0</xdr:rowOff>
    </xdr:to>
    <xdr:graphicFrame macro="">
      <xdr:nvGraphicFramePr>
        <xdr:cNvPr id="11273" name="Chart 9">
          <a:extLst>
            <a:ext uri="{FF2B5EF4-FFF2-40B4-BE49-F238E27FC236}">
              <a16:creationId xmlns:a16="http://schemas.microsoft.com/office/drawing/2014/main" id="{00000000-0008-0000-0400-000009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314325</xdr:colOff>
      <xdr:row>72</xdr:row>
      <xdr:rowOff>85725</xdr:rowOff>
    </xdr:from>
    <xdr:to>
      <xdr:col>31</xdr:col>
      <xdr:colOff>304800</xdr:colOff>
      <xdr:row>75</xdr:row>
      <xdr:rowOff>47625</xdr:rowOff>
    </xdr:to>
    <xdr:sp macro="" textlink="">
      <xdr:nvSpPr>
        <xdr:cNvPr id="11274" name="テキスト 80">
          <a:extLst>
            <a:ext uri="{FF2B5EF4-FFF2-40B4-BE49-F238E27FC236}">
              <a16:creationId xmlns:a16="http://schemas.microsoft.com/office/drawing/2014/main" id="{00000000-0008-0000-0400-00000A2C0000}"/>
            </a:ext>
          </a:extLst>
        </xdr:cNvPr>
        <xdr:cNvSpPr txBox="1">
          <a:spLocks noChangeArrowheads="1"/>
        </xdr:cNvSpPr>
      </xdr:nvSpPr>
      <xdr:spPr bwMode="auto">
        <a:xfrm>
          <a:off x="7086600" y="11630025"/>
          <a:ext cx="5705475" cy="428625"/>
        </a:xfrm>
        <a:prstGeom prst="rect">
          <a:avLst/>
        </a:prstGeom>
        <a:noFill/>
        <a:ln w="17145">
          <a:noFill/>
          <a:miter lim="800000"/>
          <a:headEnd/>
          <a:tailEnd/>
        </a:ln>
      </xdr:spPr>
      <xdr:txBody>
        <a:bodyPr vertOverflow="clip" wrap="square" lIns="27432" tIns="22860" rIns="0" bIns="0" anchor="t" upright="1"/>
        <a:lstStyle/>
        <a:p>
          <a:pPr algn="l" rtl="0">
            <a:defRPr sz="1000"/>
          </a:pPr>
          <a:r>
            <a:rPr lang="en-US" sz="900" b="1" i="0" u="sng" strike="noStrike" baseline="0">
              <a:solidFill>
                <a:srgbClr val="000000"/>
              </a:solidFill>
              <a:latin typeface="Arial"/>
              <a:cs typeface="Arial"/>
            </a:rPr>
            <a:t>Issue and Countermeasure</a:t>
          </a:r>
        </a:p>
        <a:p>
          <a:pPr algn="l" rtl="0">
            <a:defRPr sz="1000"/>
          </a:pPr>
          <a:endParaRPr lang="en-US" sz="900" b="1" i="0" u="sng"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16</xdr:col>
      <xdr:colOff>228600</xdr:colOff>
      <xdr:row>49</xdr:row>
      <xdr:rowOff>85725</xdr:rowOff>
    </xdr:from>
    <xdr:to>
      <xdr:col>32</xdr:col>
      <xdr:colOff>47625</xdr:colOff>
      <xdr:row>75</xdr:row>
      <xdr:rowOff>152400</xdr:rowOff>
    </xdr:to>
    <xdr:sp macro="" textlink="">
      <xdr:nvSpPr>
        <xdr:cNvPr id="11275" name="Rectangle 11">
          <a:extLst>
            <a:ext uri="{FF2B5EF4-FFF2-40B4-BE49-F238E27FC236}">
              <a16:creationId xmlns:a16="http://schemas.microsoft.com/office/drawing/2014/main" id="{00000000-0008-0000-0400-00000B2C0000}"/>
            </a:ext>
          </a:extLst>
        </xdr:cNvPr>
        <xdr:cNvSpPr>
          <a:spLocks noChangeArrowheads="1"/>
        </xdr:cNvSpPr>
      </xdr:nvSpPr>
      <xdr:spPr bwMode="auto">
        <a:xfrm>
          <a:off x="7000875" y="7829550"/>
          <a:ext cx="5915025" cy="4333875"/>
        </a:xfrm>
        <a:prstGeom prst="rect">
          <a:avLst/>
        </a:prstGeom>
        <a:noFill/>
        <a:ln w="19050">
          <a:solidFill>
            <a:srgbClr val="000000"/>
          </a:solidFill>
          <a:miter lim="800000"/>
          <a:headEnd/>
          <a:tailEnd/>
        </a:ln>
      </xdr:spPr>
    </xdr:sp>
    <xdr:clientData/>
  </xdr:twoCellAnchor>
  <xdr:twoCellAnchor>
    <xdr:from>
      <xdr:col>1</xdr:col>
      <xdr:colOff>0</xdr:colOff>
      <xdr:row>14</xdr:row>
      <xdr:rowOff>0</xdr:rowOff>
    </xdr:from>
    <xdr:to>
      <xdr:col>1</xdr:col>
      <xdr:colOff>628650</xdr:colOff>
      <xdr:row>22</xdr:row>
      <xdr:rowOff>0</xdr:rowOff>
    </xdr:to>
    <xdr:sp macro="" textlink="">
      <xdr:nvSpPr>
        <xdr:cNvPr id="11276" name="テキスト 1">
          <a:extLst>
            <a:ext uri="{FF2B5EF4-FFF2-40B4-BE49-F238E27FC236}">
              <a16:creationId xmlns:a16="http://schemas.microsoft.com/office/drawing/2014/main" id="{00000000-0008-0000-0400-00000C2C0000}"/>
            </a:ext>
          </a:extLst>
        </xdr:cNvPr>
        <xdr:cNvSpPr txBox="1">
          <a:spLocks noChangeArrowheads="1"/>
        </xdr:cNvSpPr>
      </xdr:nvSpPr>
      <xdr:spPr bwMode="auto">
        <a:xfrm>
          <a:off x="180975" y="2133600"/>
          <a:ext cx="628650" cy="1295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ＭＳ Ｐゴシック"/>
              <a:ea typeface="ＭＳ Ｐゴシック"/>
            </a:rPr>
            <a:t>Program</a:t>
          </a:r>
        </a:p>
        <a:p>
          <a:pPr algn="ctr" rtl="0">
            <a:defRPr sz="1000"/>
          </a:pPr>
          <a:r>
            <a:rPr lang="en-US" sz="900" b="0" i="0" u="none" strike="noStrike" baseline="0">
              <a:solidFill>
                <a:srgbClr val="000000"/>
              </a:solidFill>
              <a:latin typeface="ＭＳ Ｐゴシック"/>
              <a:ea typeface="ＭＳ Ｐゴシック"/>
            </a:rPr>
            <a:t>ming</a:t>
          </a:r>
        </a:p>
        <a:p>
          <a:pPr algn="ctr" rtl="0">
            <a:defRPr sz="1000"/>
          </a:pPr>
          <a:r>
            <a:rPr lang="en-US" sz="900" b="0" i="0" u="none" strike="noStrike" baseline="0">
              <a:solidFill>
                <a:srgbClr val="000000"/>
              </a:solidFill>
              <a:latin typeface="ＭＳ Ｐゴシック"/>
              <a:ea typeface="ＭＳ Ｐゴシック"/>
            </a:rPr>
            <a:t>(Indicator: Function)</a:t>
          </a:r>
        </a:p>
      </xdr:txBody>
    </xdr:sp>
    <xdr:clientData/>
  </xdr:twoCellAnchor>
  <xdr:twoCellAnchor>
    <xdr:from>
      <xdr:col>1</xdr:col>
      <xdr:colOff>647700</xdr:colOff>
      <xdr:row>14</xdr:row>
      <xdr:rowOff>142875</xdr:rowOff>
    </xdr:from>
    <xdr:to>
      <xdr:col>33</xdr:col>
      <xdr:colOff>28575</xdr:colOff>
      <xdr:row>22</xdr:row>
      <xdr:rowOff>76200</xdr:rowOff>
    </xdr:to>
    <xdr:graphicFrame macro="">
      <xdr:nvGraphicFramePr>
        <xdr:cNvPr id="11277" name="Chart 13">
          <a:extLst>
            <a:ext uri="{FF2B5EF4-FFF2-40B4-BE49-F238E27FC236}">
              <a16:creationId xmlns:a16="http://schemas.microsoft.com/office/drawing/2014/main" id="{00000000-0008-0000-0400-00000D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628650</xdr:colOff>
      <xdr:row>28</xdr:row>
      <xdr:rowOff>0</xdr:rowOff>
    </xdr:from>
    <xdr:to>
      <xdr:col>24</xdr:col>
      <xdr:colOff>361950</xdr:colOff>
      <xdr:row>28</xdr:row>
      <xdr:rowOff>0</xdr:rowOff>
    </xdr:to>
    <xdr:graphicFrame macro="">
      <xdr:nvGraphicFramePr>
        <xdr:cNvPr id="11278" name="Chart 14">
          <a:extLst>
            <a:ext uri="{FF2B5EF4-FFF2-40B4-BE49-F238E27FC236}">
              <a16:creationId xmlns:a16="http://schemas.microsoft.com/office/drawing/2014/main" id="{00000000-0008-0000-0400-00000E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590550</xdr:colOff>
      <xdr:row>28</xdr:row>
      <xdr:rowOff>0</xdr:rowOff>
    </xdr:from>
    <xdr:to>
      <xdr:col>25</xdr:col>
      <xdr:colOff>390525</xdr:colOff>
      <xdr:row>28</xdr:row>
      <xdr:rowOff>0</xdr:rowOff>
    </xdr:to>
    <xdr:graphicFrame macro="">
      <xdr:nvGraphicFramePr>
        <xdr:cNvPr id="11279" name="Chart 15">
          <a:extLst>
            <a:ext uri="{FF2B5EF4-FFF2-40B4-BE49-F238E27FC236}">
              <a16:creationId xmlns:a16="http://schemas.microsoft.com/office/drawing/2014/main" id="{00000000-0008-0000-0400-00000F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9525</xdr:colOff>
      <xdr:row>14</xdr:row>
      <xdr:rowOff>0</xdr:rowOff>
    </xdr:from>
    <xdr:to>
      <xdr:col>19</xdr:col>
      <xdr:colOff>9525</xdr:colOff>
      <xdr:row>28</xdr:row>
      <xdr:rowOff>0</xdr:rowOff>
    </xdr:to>
    <xdr:sp macro="" textlink="">
      <xdr:nvSpPr>
        <xdr:cNvPr id="11280" name="Rectangle 16">
          <a:extLst>
            <a:ext uri="{FF2B5EF4-FFF2-40B4-BE49-F238E27FC236}">
              <a16:creationId xmlns:a16="http://schemas.microsoft.com/office/drawing/2014/main" id="{00000000-0008-0000-0400-0000102C0000}"/>
            </a:ext>
          </a:extLst>
        </xdr:cNvPr>
        <xdr:cNvSpPr>
          <a:spLocks noChangeArrowheads="1"/>
        </xdr:cNvSpPr>
      </xdr:nvSpPr>
      <xdr:spPr bwMode="auto">
        <a:xfrm>
          <a:off x="7543800" y="2133600"/>
          <a:ext cx="381000" cy="2266950"/>
        </a:xfrm>
        <a:prstGeom prst="rect">
          <a:avLst/>
        </a:prstGeom>
        <a:noFill/>
        <a:ln w="17145">
          <a:solidFill>
            <a:srgbClr val="FF0000"/>
          </a:solidFill>
          <a:miter lim="800000"/>
          <a:headEnd/>
          <a:tailEnd/>
        </a:ln>
      </xdr:spPr>
    </xdr:sp>
    <xdr:clientData/>
  </xdr:twoCellAnchor>
  <xdr:twoCellAnchor>
    <xdr:from>
      <xdr:col>1</xdr:col>
      <xdr:colOff>666750</xdr:colOff>
      <xdr:row>28</xdr:row>
      <xdr:rowOff>0</xdr:rowOff>
    </xdr:from>
    <xdr:to>
      <xdr:col>22</xdr:col>
      <xdr:colOff>390525</xdr:colOff>
      <xdr:row>28</xdr:row>
      <xdr:rowOff>0</xdr:rowOff>
    </xdr:to>
    <xdr:graphicFrame macro="">
      <xdr:nvGraphicFramePr>
        <xdr:cNvPr id="11281" name="Chart 17">
          <a:extLst>
            <a:ext uri="{FF2B5EF4-FFF2-40B4-BE49-F238E27FC236}">
              <a16:creationId xmlns:a16="http://schemas.microsoft.com/office/drawing/2014/main" id="{00000000-0008-0000-0400-000011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628650</xdr:colOff>
      <xdr:row>28</xdr:row>
      <xdr:rowOff>0</xdr:rowOff>
    </xdr:from>
    <xdr:to>
      <xdr:col>24</xdr:col>
      <xdr:colOff>361950</xdr:colOff>
      <xdr:row>28</xdr:row>
      <xdr:rowOff>0</xdr:rowOff>
    </xdr:to>
    <xdr:graphicFrame macro="">
      <xdr:nvGraphicFramePr>
        <xdr:cNvPr id="11282" name="Chart 18">
          <a:extLst>
            <a:ext uri="{FF2B5EF4-FFF2-40B4-BE49-F238E27FC236}">
              <a16:creationId xmlns:a16="http://schemas.microsoft.com/office/drawing/2014/main" id="{00000000-0008-0000-0400-000012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590550</xdr:colOff>
      <xdr:row>28</xdr:row>
      <xdr:rowOff>0</xdr:rowOff>
    </xdr:from>
    <xdr:to>
      <xdr:col>25</xdr:col>
      <xdr:colOff>390525</xdr:colOff>
      <xdr:row>28</xdr:row>
      <xdr:rowOff>0</xdr:rowOff>
    </xdr:to>
    <xdr:graphicFrame macro="">
      <xdr:nvGraphicFramePr>
        <xdr:cNvPr id="11283" name="Chart 19">
          <a:extLst>
            <a:ext uri="{FF2B5EF4-FFF2-40B4-BE49-F238E27FC236}">
              <a16:creationId xmlns:a16="http://schemas.microsoft.com/office/drawing/2014/main" id="{00000000-0008-0000-0400-000013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666750</xdr:colOff>
      <xdr:row>28</xdr:row>
      <xdr:rowOff>0</xdr:rowOff>
    </xdr:from>
    <xdr:to>
      <xdr:col>22</xdr:col>
      <xdr:colOff>390525</xdr:colOff>
      <xdr:row>28</xdr:row>
      <xdr:rowOff>0</xdr:rowOff>
    </xdr:to>
    <xdr:graphicFrame macro="">
      <xdr:nvGraphicFramePr>
        <xdr:cNvPr id="11284" name="Chart 20">
          <a:extLst>
            <a:ext uri="{FF2B5EF4-FFF2-40B4-BE49-F238E27FC236}">
              <a16:creationId xmlns:a16="http://schemas.microsoft.com/office/drawing/2014/main" id="{00000000-0008-0000-0400-000014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0</xdr:colOff>
      <xdr:row>29</xdr:row>
      <xdr:rowOff>0</xdr:rowOff>
    </xdr:from>
    <xdr:to>
      <xdr:col>1</xdr:col>
      <xdr:colOff>628650</xdr:colOff>
      <xdr:row>37</xdr:row>
      <xdr:rowOff>0</xdr:rowOff>
    </xdr:to>
    <xdr:sp macro="" textlink="">
      <xdr:nvSpPr>
        <xdr:cNvPr id="11285" name="テキスト 1">
          <a:extLst>
            <a:ext uri="{FF2B5EF4-FFF2-40B4-BE49-F238E27FC236}">
              <a16:creationId xmlns:a16="http://schemas.microsoft.com/office/drawing/2014/main" id="{00000000-0008-0000-0400-0000152C0000}"/>
            </a:ext>
          </a:extLst>
        </xdr:cNvPr>
        <xdr:cNvSpPr txBox="1">
          <a:spLocks noChangeArrowheads="1"/>
        </xdr:cNvSpPr>
      </xdr:nvSpPr>
      <xdr:spPr bwMode="auto">
        <a:xfrm>
          <a:off x="180975" y="4581525"/>
          <a:ext cx="628650" cy="1295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900" b="0" i="0" u="none" strike="noStrike" baseline="0">
              <a:solidFill>
                <a:srgbClr val="000000"/>
              </a:solidFill>
              <a:latin typeface="ＭＳ Ｐゴシック"/>
              <a:ea typeface="ＭＳ Ｐゴシック"/>
            </a:rPr>
            <a:t>Testing &amp; Quality</a:t>
          </a:r>
        </a:p>
        <a:p>
          <a:pPr algn="ctr" rtl="0">
            <a:defRPr sz="1000"/>
          </a:pPr>
          <a:r>
            <a:rPr lang="en-US" sz="900" b="0" i="0" u="none" strike="noStrike" baseline="0">
              <a:solidFill>
                <a:srgbClr val="000000"/>
              </a:solidFill>
              <a:latin typeface="ＭＳ Ｐゴシック"/>
              <a:ea typeface="ＭＳ Ｐゴシック"/>
            </a:rPr>
            <a:t>(Indicator: Test Case)</a:t>
          </a:r>
        </a:p>
      </xdr:txBody>
    </xdr:sp>
    <xdr:clientData/>
  </xdr:twoCellAnchor>
  <xdr:twoCellAnchor>
    <xdr:from>
      <xdr:col>1</xdr:col>
      <xdr:colOff>819150</xdr:colOff>
      <xdr:row>29</xdr:row>
      <xdr:rowOff>152400</xdr:rowOff>
    </xdr:from>
    <xdr:to>
      <xdr:col>33</xdr:col>
      <xdr:colOff>0</xdr:colOff>
      <xdr:row>37</xdr:row>
      <xdr:rowOff>85725</xdr:rowOff>
    </xdr:to>
    <xdr:graphicFrame macro="">
      <xdr:nvGraphicFramePr>
        <xdr:cNvPr id="11286" name="Chart 22">
          <a:extLst>
            <a:ext uri="{FF2B5EF4-FFF2-40B4-BE49-F238E27FC236}">
              <a16:creationId xmlns:a16="http://schemas.microsoft.com/office/drawing/2014/main" id="{00000000-0008-0000-0400-000016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9525</xdr:colOff>
      <xdr:row>29</xdr:row>
      <xdr:rowOff>0</xdr:rowOff>
    </xdr:from>
    <xdr:to>
      <xdr:col>19</xdr:col>
      <xdr:colOff>9525</xdr:colOff>
      <xdr:row>48</xdr:row>
      <xdr:rowOff>0</xdr:rowOff>
    </xdr:to>
    <xdr:sp macro="" textlink="">
      <xdr:nvSpPr>
        <xdr:cNvPr id="11287" name="Rectangle 23">
          <a:extLst>
            <a:ext uri="{FF2B5EF4-FFF2-40B4-BE49-F238E27FC236}">
              <a16:creationId xmlns:a16="http://schemas.microsoft.com/office/drawing/2014/main" id="{00000000-0008-0000-0400-0000172C0000}"/>
            </a:ext>
          </a:extLst>
        </xdr:cNvPr>
        <xdr:cNvSpPr>
          <a:spLocks noChangeArrowheads="1"/>
        </xdr:cNvSpPr>
      </xdr:nvSpPr>
      <xdr:spPr bwMode="auto">
        <a:xfrm>
          <a:off x="7543800" y="4581525"/>
          <a:ext cx="381000" cy="3076575"/>
        </a:xfrm>
        <a:prstGeom prst="rect">
          <a:avLst/>
        </a:prstGeom>
        <a:noFill/>
        <a:ln w="17145">
          <a:solidFill>
            <a:srgbClr val="FF0000"/>
          </a:solidFill>
          <a:miter lim="800000"/>
          <a:headEnd/>
          <a:tailEnd/>
        </a:ln>
      </xdr:spPr>
    </xdr:sp>
    <xdr:clientData/>
  </xdr:twoCellAnchor>
  <xdr:twoCellAnchor>
    <xdr:from>
      <xdr:col>1</xdr:col>
      <xdr:colOff>0</xdr:colOff>
      <xdr:row>0</xdr:row>
      <xdr:rowOff>76200</xdr:rowOff>
    </xdr:from>
    <xdr:to>
      <xdr:col>20</xdr:col>
      <xdr:colOff>323850</xdr:colOff>
      <xdr:row>2</xdr:row>
      <xdr:rowOff>66675</xdr:rowOff>
    </xdr:to>
    <xdr:sp macro="" textlink="">
      <xdr:nvSpPr>
        <xdr:cNvPr id="11288" name="テキスト 12">
          <a:extLst>
            <a:ext uri="{FF2B5EF4-FFF2-40B4-BE49-F238E27FC236}">
              <a16:creationId xmlns:a16="http://schemas.microsoft.com/office/drawing/2014/main" id="{00000000-0008-0000-0400-0000182C0000}"/>
            </a:ext>
          </a:extLst>
        </xdr:cNvPr>
        <xdr:cNvSpPr>
          <a:spLocks noChangeArrowheads="1"/>
        </xdr:cNvSpPr>
      </xdr:nvSpPr>
      <xdr:spPr bwMode="auto">
        <a:xfrm>
          <a:off x="180975" y="76200"/>
          <a:ext cx="8439150" cy="295275"/>
        </a:xfrm>
        <a:prstGeom prst="roundRect">
          <a:avLst>
            <a:gd name="adj" fmla="val 16667"/>
          </a:avLst>
        </a:prstGeom>
        <a:solidFill>
          <a:srgbClr val="FFFFFF"/>
        </a:solidFill>
        <a:ln w="9525">
          <a:solidFill>
            <a:srgbClr val="000000"/>
          </a:solidFill>
          <a:round/>
          <a:headEnd/>
          <a:tailEnd/>
        </a:ln>
        <a:effectLst>
          <a:outerShdw dist="35921" dir="2700000" algn="ctr" rotWithShape="0">
            <a:srgbClr val="000000"/>
          </a:outerShdw>
        </a:effectLst>
      </xdr:spPr>
      <xdr:txBody>
        <a:bodyPr vertOverflow="clip" wrap="square" lIns="45720" tIns="32004" rIns="0" bIns="32004" anchor="ctr" upright="1"/>
        <a:lstStyle/>
        <a:p>
          <a:pPr algn="l" rtl="0">
            <a:defRPr sz="1000"/>
          </a:pPr>
          <a:r>
            <a:rPr lang="en-US" sz="1600" b="1" i="0" u="none" strike="noStrike" baseline="0">
              <a:solidFill>
                <a:srgbClr val="000000"/>
              </a:solidFill>
              <a:latin typeface="Microsoft Sans Serif"/>
              <a:cs typeface="Microsoft Sans Serif"/>
            </a:rPr>
            <a:t>TMAP: XXX</a:t>
          </a:r>
        </a:p>
      </xdr:txBody>
    </xdr:sp>
    <xdr:clientData/>
  </xdr:twoCellAnchor>
  <xdr:twoCellAnchor>
    <xdr:from>
      <xdr:col>1</xdr:col>
      <xdr:colOff>19050</xdr:colOff>
      <xdr:row>49</xdr:row>
      <xdr:rowOff>123825</xdr:rowOff>
    </xdr:from>
    <xdr:to>
      <xdr:col>4</xdr:col>
      <xdr:colOff>276225</xdr:colOff>
      <xdr:row>50</xdr:row>
      <xdr:rowOff>133350</xdr:rowOff>
    </xdr:to>
    <xdr:sp macro="" textlink="">
      <xdr:nvSpPr>
        <xdr:cNvPr id="11289" name="Text Box 25">
          <a:extLst>
            <a:ext uri="{FF2B5EF4-FFF2-40B4-BE49-F238E27FC236}">
              <a16:creationId xmlns:a16="http://schemas.microsoft.com/office/drawing/2014/main" id="{00000000-0008-0000-0400-0000192C0000}"/>
            </a:ext>
          </a:extLst>
        </xdr:cNvPr>
        <xdr:cNvSpPr txBox="1">
          <a:spLocks noChangeArrowheads="1"/>
        </xdr:cNvSpPr>
      </xdr:nvSpPr>
      <xdr:spPr bwMode="auto">
        <a:xfrm>
          <a:off x="200025" y="7867650"/>
          <a:ext cx="2219325" cy="1619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1" i="0" u="none" strike="noStrike" baseline="0">
              <a:solidFill>
                <a:srgbClr val="000000"/>
              </a:solidFill>
              <a:latin typeface="Arial"/>
              <a:cs typeface="Arial"/>
            </a:rPr>
            <a:t>&lt;Progress Status&gt;</a:t>
          </a:r>
        </a:p>
      </xdr:txBody>
    </xdr:sp>
    <xdr:clientData/>
  </xdr:twoCellAnchor>
  <xdr:twoCellAnchor>
    <xdr:from>
      <xdr:col>4</xdr:col>
      <xdr:colOff>0</xdr:colOff>
      <xdr:row>4</xdr:row>
      <xdr:rowOff>0</xdr:rowOff>
    </xdr:from>
    <xdr:to>
      <xdr:col>27</xdr:col>
      <xdr:colOff>352425</xdr:colOff>
      <xdr:row>5</xdr:row>
      <xdr:rowOff>47625</xdr:rowOff>
    </xdr:to>
    <xdr:sp macro="" textlink="">
      <xdr:nvSpPr>
        <xdr:cNvPr id="11290" name="テキスト 84">
          <a:extLst>
            <a:ext uri="{FF2B5EF4-FFF2-40B4-BE49-F238E27FC236}">
              <a16:creationId xmlns:a16="http://schemas.microsoft.com/office/drawing/2014/main" id="{00000000-0008-0000-0400-00001A2C0000}"/>
            </a:ext>
          </a:extLst>
        </xdr:cNvPr>
        <xdr:cNvSpPr txBox="1">
          <a:spLocks noChangeArrowheads="1"/>
        </xdr:cNvSpPr>
      </xdr:nvSpPr>
      <xdr:spPr bwMode="auto">
        <a:xfrm>
          <a:off x="2143125" y="523875"/>
          <a:ext cx="9172575" cy="209550"/>
        </a:xfrm>
        <a:prstGeom prst="rect">
          <a:avLst/>
        </a:prstGeom>
        <a:solidFill>
          <a:srgbClr val="FFFFFF"/>
        </a:solidFill>
        <a:ln w="9525">
          <a:solidFill>
            <a:srgbClr val="000000"/>
          </a:solidFill>
          <a:miter lim="800000"/>
          <a:headEnd/>
          <a:tailEnd/>
        </a:ln>
      </xdr:spPr>
      <xdr:txBody>
        <a:bodyPr vertOverflow="clip" wrap="square" lIns="36576" tIns="18288" rIns="36576" bIns="0" anchor="t" upright="1"/>
        <a:lstStyle/>
        <a:p>
          <a:pPr algn="ctr" rtl="0">
            <a:defRPr sz="1000"/>
          </a:pPr>
          <a:r>
            <a:rPr lang="en-US" sz="1200" b="1" i="0" u="none" strike="noStrike" baseline="0">
              <a:solidFill>
                <a:srgbClr val="000000"/>
              </a:solidFill>
              <a:latin typeface="ＭＳ Ｐゴシック"/>
              <a:ea typeface="ＭＳ Ｐゴシック"/>
            </a:rPr>
            <a:t>Programming and Unit Test (PU)</a:t>
          </a:r>
        </a:p>
      </xdr:txBody>
    </xdr:sp>
    <xdr:clientData/>
  </xdr:twoCellAnchor>
  <xdr:twoCellAnchor>
    <xdr:from>
      <xdr:col>12</xdr:col>
      <xdr:colOff>314325</xdr:colOff>
      <xdr:row>13</xdr:row>
      <xdr:rowOff>0</xdr:rowOff>
    </xdr:from>
    <xdr:to>
      <xdr:col>22</xdr:col>
      <xdr:colOff>9525</xdr:colOff>
      <xdr:row>13</xdr:row>
      <xdr:rowOff>142875</xdr:rowOff>
    </xdr:to>
    <xdr:sp macro="" textlink="">
      <xdr:nvSpPr>
        <xdr:cNvPr id="11291" name="Text Box 27">
          <a:extLst>
            <a:ext uri="{FF2B5EF4-FFF2-40B4-BE49-F238E27FC236}">
              <a16:creationId xmlns:a16="http://schemas.microsoft.com/office/drawing/2014/main" id="{00000000-0008-0000-0400-00001B2C0000}"/>
            </a:ext>
          </a:extLst>
        </xdr:cNvPr>
        <xdr:cNvSpPr txBox="1">
          <a:spLocks noChangeArrowheads="1"/>
        </xdr:cNvSpPr>
      </xdr:nvSpPr>
      <xdr:spPr bwMode="auto">
        <a:xfrm>
          <a:off x="5505450" y="1933575"/>
          <a:ext cx="3562350" cy="142875"/>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800" b="0" i="0" u="none" strike="noStrike" baseline="0">
              <a:solidFill>
                <a:srgbClr val="000000"/>
              </a:solidFill>
              <a:latin typeface="Arial"/>
              <a:cs typeface="Arial"/>
            </a:rPr>
            <a:t>Start : Finish : Tested = 1 : 1 : 1</a:t>
          </a:r>
        </a:p>
      </xdr:txBody>
    </xdr:sp>
    <xdr:clientData/>
  </xdr:twoCellAnchor>
  <xdr:twoCellAnchor>
    <xdr:from>
      <xdr:col>19</xdr:col>
      <xdr:colOff>85725</xdr:colOff>
      <xdr:row>5</xdr:row>
      <xdr:rowOff>104775</xdr:rowOff>
    </xdr:from>
    <xdr:to>
      <xdr:col>21</xdr:col>
      <xdr:colOff>123825</xdr:colOff>
      <xdr:row>7</xdr:row>
      <xdr:rowOff>76200</xdr:rowOff>
    </xdr:to>
    <xdr:sp macro="" textlink="">
      <xdr:nvSpPr>
        <xdr:cNvPr id="11292" name="AutoShape 28">
          <a:extLst>
            <a:ext uri="{FF2B5EF4-FFF2-40B4-BE49-F238E27FC236}">
              <a16:creationId xmlns:a16="http://schemas.microsoft.com/office/drawing/2014/main" id="{00000000-0008-0000-0400-00001C2C0000}"/>
            </a:ext>
          </a:extLst>
        </xdr:cNvPr>
        <xdr:cNvSpPr>
          <a:spLocks noChangeArrowheads="1"/>
        </xdr:cNvSpPr>
      </xdr:nvSpPr>
      <xdr:spPr bwMode="auto">
        <a:xfrm>
          <a:off x="8001000" y="790575"/>
          <a:ext cx="800100" cy="323850"/>
        </a:xfrm>
        <a:prstGeom prst="flowChartDecision">
          <a:avLst/>
        </a:prstGeom>
        <a:solidFill>
          <a:srgbClr val="FFFFFF"/>
        </a:solidFill>
        <a:ln w="9525">
          <a:solidFill>
            <a:srgbClr val="FF0000"/>
          </a:solidFill>
          <a:miter lim="800000"/>
          <a:headEnd/>
          <a:tailEnd/>
        </a:ln>
      </xdr:spPr>
      <xdr:txBody>
        <a:bodyPr vertOverflow="clip" wrap="square" lIns="27432" tIns="18288" rIns="0" bIns="0" anchor="t" upright="1"/>
        <a:lstStyle/>
        <a:p>
          <a:pPr algn="l" rtl="0">
            <a:defRPr sz="1000"/>
          </a:pPr>
          <a:r>
            <a:rPr lang="en-US" sz="900" b="0" i="0" u="none" strike="noStrike" baseline="0">
              <a:solidFill>
                <a:srgbClr val="000000"/>
              </a:solidFill>
              <a:latin typeface="ＭＳ Ｐ明朝"/>
              <a:ea typeface="ＭＳ Ｐ明朝"/>
            </a:rPr>
            <a:t>Oct-3</a:t>
          </a:r>
        </a:p>
      </xdr:txBody>
    </xdr:sp>
    <xdr:clientData/>
  </xdr:twoCellAnchor>
  <xdr:twoCellAnchor>
    <xdr:from>
      <xdr:col>1</xdr:col>
      <xdr:colOff>838200</xdr:colOff>
      <xdr:row>49</xdr:row>
      <xdr:rowOff>0</xdr:rowOff>
    </xdr:from>
    <xdr:to>
      <xdr:col>31</xdr:col>
      <xdr:colOff>333375</xdr:colOff>
      <xdr:row>49</xdr:row>
      <xdr:rowOff>0</xdr:rowOff>
    </xdr:to>
    <xdr:graphicFrame macro="">
      <xdr:nvGraphicFramePr>
        <xdr:cNvPr id="11294" name="Chart 30">
          <a:extLst>
            <a:ext uri="{FF2B5EF4-FFF2-40B4-BE49-F238E27FC236}">
              <a16:creationId xmlns:a16="http://schemas.microsoft.com/office/drawing/2014/main" id="{00000000-0008-0000-0400-00001E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twoCellAnchor>
  <xdr:twoCellAnchor>
    <xdr:from>
      <xdr:col>1</xdr:col>
      <xdr:colOff>628650</xdr:colOff>
      <xdr:row>49</xdr:row>
      <xdr:rowOff>0</xdr:rowOff>
    </xdr:from>
    <xdr:to>
      <xdr:col>24</xdr:col>
      <xdr:colOff>361950</xdr:colOff>
      <xdr:row>49</xdr:row>
      <xdr:rowOff>0</xdr:rowOff>
    </xdr:to>
    <xdr:graphicFrame macro="">
      <xdr:nvGraphicFramePr>
        <xdr:cNvPr id="11295" name="Chart 31">
          <a:extLst>
            <a:ext uri="{FF2B5EF4-FFF2-40B4-BE49-F238E27FC236}">
              <a16:creationId xmlns:a16="http://schemas.microsoft.com/office/drawing/2014/main" id="{00000000-0008-0000-0400-00001F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590550</xdr:colOff>
      <xdr:row>49</xdr:row>
      <xdr:rowOff>0</xdr:rowOff>
    </xdr:from>
    <xdr:to>
      <xdr:col>25</xdr:col>
      <xdr:colOff>390525</xdr:colOff>
      <xdr:row>49</xdr:row>
      <xdr:rowOff>0</xdr:rowOff>
    </xdr:to>
    <xdr:graphicFrame macro="">
      <xdr:nvGraphicFramePr>
        <xdr:cNvPr id="11296" name="Chart 32">
          <a:extLst>
            <a:ext uri="{FF2B5EF4-FFF2-40B4-BE49-F238E27FC236}">
              <a16:creationId xmlns:a16="http://schemas.microsoft.com/office/drawing/2014/main" id="{00000000-0008-0000-0400-000020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666750</xdr:colOff>
      <xdr:row>49</xdr:row>
      <xdr:rowOff>0</xdr:rowOff>
    </xdr:from>
    <xdr:to>
      <xdr:col>22</xdr:col>
      <xdr:colOff>390525</xdr:colOff>
      <xdr:row>49</xdr:row>
      <xdr:rowOff>0</xdr:rowOff>
    </xdr:to>
    <xdr:graphicFrame macro="">
      <xdr:nvGraphicFramePr>
        <xdr:cNvPr id="11297" name="Chart 33">
          <a:extLst>
            <a:ext uri="{FF2B5EF4-FFF2-40B4-BE49-F238E27FC236}">
              <a16:creationId xmlns:a16="http://schemas.microsoft.com/office/drawing/2014/main" id="{00000000-0008-0000-0400-000021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628650</xdr:colOff>
      <xdr:row>49</xdr:row>
      <xdr:rowOff>0</xdr:rowOff>
    </xdr:from>
    <xdr:to>
      <xdr:col>24</xdr:col>
      <xdr:colOff>361950</xdr:colOff>
      <xdr:row>49</xdr:row>
      <xdr:rowOff>0</xdr:rowOff>
    </xdr:to>
    <xdr:graphicFrame macro="">
      <xdr:nvGraphicFramePr>
        <xdr:cNvPr id="11298" name="Chart 34">
          <a:extLst>
            <a:ext uri="{FF2B5EF4-FFF2-40B4-BE49-F238E27FC236}">
              <a16:creationId xmlns:a16="http://schemas.microsoft.com/office/drawing/2014/main" id="{00000000-0008-0000-0400-000022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590550</xdr:colOff>
      <xdr:row>49</xdr:row>
      <xdr:rowOff>0</xdr:rowOff>
    </xdr:from>
    <xdr:to>
      <xdr:col>25</xdr:col>
      <xdr:colOff>390525</xdr:colOff>
      <xdr:row>49</xdr:row>
      <xdr:rowOff>0</xdr:rowOff>
    </xdr:to>
    <xdr:graphicFrame macro="">
      <xdr:nvGraphicFramePr>
        <xdr:cNvPr id="11299" name="Chart 35">
          <a:extLst>
            <a:ext uri="{FF2B5EF4-FFF2-40B4-BE49-F238E27FC236}">
              <a16:creationId xmlns:a16="http://schemas.microsoft.com/office/drawing/2014/main" id="{00000000-0008-0000-0400-000023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666750</xdr:colOff>
      <xdr:row>49</xdr:row>
      <xdr:rowOff>0</xdr:rowOff>
    </xdr:from>
    <xdr:to>
      <xdr:col>22</xdr:col>
      <xdr:colOff>390525</xdr:colOff>
      <xdr:row>49</xdr:row>
      <xdr:rowOff>0</xdr:rowOff>
    </xdr:to>
    <xdr:graphicFrame macro="">
      <xdr:nvGraphicFramePr>
        <xdr:cNvPr id="11300" name="Chart 36">
          <a:extLst>
            <a:ext uri="{FF2B5EF4-FFF2-40B4-BE49-F238E27FC236}">
              <a16:creationId xmlns:a16="http://schemas.microsoft.com/office/drawing/2014/main" id="{00000000-0008-0000-0400-000024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19050</xdr:colOff>
      <xdr:row>7</xdr:row>
      <xdr:rowOff>123825</xdr:rowOff>
    </xdr:from>
    <xdr:to>
      <xdr:col>7</xdr:col>
      <xdr:colOff>0</xdr:colOff>
      <xdr:row>8</xdr:row>
      <xdr:rowOff>133350</xdr:rowOff>
    </xdr:to>
    <xdr:sp macro="" textlink="">
      <xdr:nvSpPr>
        <xdr:cNvPr id="11301" name="AutoShape 37">
          <a:extLst>
            <a:ext uri="{FF2B5EF4-FFF2-40B4-BE49-F238E27FC236}">
              <a16:creationId xmlns:a16="http://schemas.microsoft.com/office/drawing/2014/main" id="{00000000-0008-0000-0400-0000252C0000}"/>
            </a:ext>
          </a:extLst>
        </xdr:cNvPr>
        <xdr:cNvSpPr>
          <a:spLocks noChangeArrowheads="1"/>
        </xdr:cNvSpPr>
      </xdr:nvSpPr>
      <xdr:spPr bwMode="auto">
        <a:xfrm>
          <a:off x="1400175" y="1162050"/>
          <a:ext cx="1885950" cy="171450"/>
        </a:xfrm>
        <a:prstGeom prst="homePlate">
          <a:avLst>
            <a:gd name="adj" fmla="val 275000"/>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明朝"/>
              <a:ea typeface="ＭＳ Ｐ明朝"/>
            </a:rPr>
            <a:t>UR</a:t>
          </a:r>
        </a:p>
      </xdr:txBody>
    </xdr:sp>
    <xdr:clientData/>
  </xdr:twoCellAnchor>
  <xdr:twoCellAnchor>
    <xdr:from>
      <xdr:col>6</xdr:col>
      <xdr:colOff>9525</xdr:colOff>
      <xdr:row>9</xdr:row>
      <xdr:rowOff>0</xdr:rowOff>
    </xdr:from>
    <xdr:to>
      <xdr:col>9</xdr:col>
      <xdr:colOff>0</xdr:colOff>
      <xdr:row>10</xdr:row>
      <xdr:rowOff>9525</xdr:rowOff>
    </xdr:to>
    <xdr:sp macro="" textlink="">
      <xdr:nvSpPr>
        <xdr:cNvPr id="11302" name="AutoShape 38">
          <a:extLst>
            <a:ext uri="{FF2B5EF4-FFF2-40B4-BE49-F238E27FC236}">
              <a16:creationId xmlns:a16="http://schemas.microsoft.com/office/drawing/2014/main" id="{00000000-0008-0000-0400-0000262C0000}"/>
            </a:ext>
          </a:extLst>
        </xdr:cNvPr>
        <xdr:cNvSpPr>
          <a:spLocks noChangeArrowheads="1"/>
        </xdr:cNvSpPr>
      </xdr:nvSpPr>
      <xdr:spPr bwMode="auto">
        <a:xfrm>
          <a:off x="2914650" y="1362075"/>
          <a:ext cx="1133475" cy="171450"/>
        </a:xfrm>
        <a:prstGeom prst="homePlate">
          <a:avLst>
            <a:gd name="adj" fmla="val 165278"/>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明朝"/>
              <a:ea typeface="ＭＳ Ｐ明朝"/>
            </a:rPr>
            <a:t>DR</a:t>
          </a:r>
        </a:p>
      </xdr:txBody>
    </xdr:sp>
    <xdr:clientData/>
  </xdr:twoCellAnchor>
  <xdr:twoCellAnchor>
    <xdr:from>
      <xdr:col>9</xdr:col>
      <xdr:colOff>9525</xdr:colOff>
      <xdr:row>9</xdr:row>
      <xdr:rowOff>123825</xdr:rowOff>
    </xdr:from>
    <xdr:to>
      <xdr:col>15</xdr:col>
      <xdr:colOff>219075</xdr:colOff>
      <xdr:row>11</xdr:row>
      <xdr:rowOff>0</xdr:rowOff>
    </xdr:to>
    <xdr:sp macro="" textlink="">
      <xdr:nvSpPr>
        <xdr:cNvPr id="11303" name="AutoShape 39">
          <a:extLst>
            <a:ext uri="{FF2B5EF4-FFF2-40B4-BE49-F238E27FC236}">
              <a16:creationId xmlns:a16="http://schemas.microsoft.com/office/drawing/2014/main" id="{00000000-0008-0000-0400-0000272C0000}"/>
            </a:ext>
          </a:extLst>
        </xdr:cNvPr>
        <xdr:cNvSpPr>
          <a:spLocks noChangeArrowheads="1"/>
        </xdr:cNvSpPr>
      </xdr:nvSpPr>
      <xdr:spPr bwMode="auto">
        <a:xfrm>
          <a:off x="4057650" y="1485900"/>
          <a:ext cx="2495550" cy="200025"/>
        </a:xfrm>
        <a:prstGeom prst="homePlate">
          <a:avLst>
            <a:gd name="adj" fmla="val 311905"/>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明朝"/>
              <a:ea typeface="ＭＳ Ｐ明朝"/>
            </a:rPr>
            <a:t>DN</a:t>
          </a:r>
        </a:p>
      </xdr:txBody>
    </xdr:sp>
    <xdr:clientData/>
  </xdr:twoCellAnchor>
  <xdr:twoCellAnchor>
    <xdr:from>
      <xdr:col>15</xdr:col>
      <xdr:colOff>266700</xdr:colOff>
      <xdr:row>9</xdr:row>
      <xdr:rowOff>123825</xdr:rowOff>
    </xdr:from>
    <xdr:to>
      <xdr:col>21</xdr:col>
      <xdr:colOff>152400</xdr:colOff>
      <xdr:row>11</xdr:row>
      <xdr:rowOff>19050</xdr:rowOff>
    </xdr:to>
    <xdr:sp macro="" textlink="">
      <xdr:nvSpPr>
        <xdr:cNvPr id="11304" name="AutoShape 40">
          <a:extLst>
            <a:ext uri="{FF2B5EF4-FFF2-40B4-BE49-F238E27FC236}">
              <a16:creationId xmlns:a16="http://schemas.microsoft.com/office/drawing/2014/main" id="{00000000-0008-0000-0400-0000282C0000}"/>
            </a:ext>
          </a:extLst>
        </xdr:cNvPr>
        <xdr:cNvSpPr>
          <a:spLocks noChangeArrowheads="1"/>
        </xdr:cNvSpPr>
      </xdr:nvSpPr>
      <xdr:spPr bwMode="auto">
        <a:xfrm>
          <a:off x="6600825" y="1485900"/>
          <a:ext cx="2228850" cy="219075"/>
        </a:xfrm>
        <a:prstGeom prst="homePlate">
          <a:avLst>
            <a:gd name="adj" fmla="val 254348"/>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明朝"/>
              <a:ea typeface="ＭＳ Ｐ明朝"/>
            </a:rPr>
            <a:t>PU</a:t>
          </a:r>
        </a:p>
      </xdr:txBody>
    </xdr:sp>
    <xdr:clientData/>
  </xdr:twoCellAnchor>
  <xdr:twoCellAnchor>
    <xdr:from>
      <xdr:col>21</xdr:col>
      <xdr:colOff>209550</xdr:colOff>
      <xdr:row>9</xdr:row>
      <xdr:rowOff>142875</xdr:rowOff>
    </xdr:from>
    <xdr:to>
      <xdr:col>24</xdr:col>
      <xdr:colOff>0</xdr:colOff>
      <xdr:row>11</xdr:row>
      <xdr:rowOff>9525</xdr:rowOff>
    </xdr:to>
    <xdr:sp macro="" textlink="">
      <xdr:nvSpPr>
        <xdr:cNvPr id="11305" name="AutoShape 41">
          <a:extLst>
            <a:ext uri="{FF2B5EF4-FFF2-40B4-BE49-F238E27FC236}">
              <a16:creationId xmlns:a16="http://schemas.microsoft.com/office/drawing/2014/main" id="{00000000-0008-0000-0400-0000292C0000}"/>
            </a:ext>
          </a:extLst>
        </xdr:cNvPr>
        <xdr:cNvSpPr>
          <a:spLocks noChangeArrowheads="1"/>
        </xdr:cNvSpPr>
      </xdr:nvSpPr>
      <xdr:spPr bwMode="auto">
        <a:xfrm>
          <a:off x="8886825" y="1504950"/>
          <a:ext cx="933450" cy="190500"/>
        </a:xfrm>
        <a:prstGeom prst="homePlate">
          <a:avLst>
            <a:gd name="adj" fmla="val 122500"/>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明朝"/>
              <a:ea typeface="ＭＳ Ｐ明朝"/>
            </a:rPr>
            <a:t>ST</a:t>
          </a:r>
        </a:p>
      </xdr:txBody>
    </xdr:sp>
    <xdr:clientData/>
  </xdr:twoCellAnchor>
  <xdr:twoCellAnchor>
    <xdr:from>
      <xdr:col>24</xdr:col>
      <xdr:colOff>28575</xdr:colOff>
      <xdr:row>9</xdr:row>
      <xdr:rowOff>133350</xdr:rowOff>
    </xdr:from>
    <xdr:to>
      <xdr:col>24</xdr:col>
      <xdr:colOff>371475</xdr:colOff>
      <xdr:row>10</xdr:row>
      <xdr:rowOff>152400</xdr:rowOff>
    </xdr:to>
    <xdr:sp macro="" textlink="">
      <xdr:nvSpPr>
        <xdr:cNvPr id="11306" name="AutoShape 42">
          <a:extLst>
            <a:ext uri="{FF2B5EF4-FFF2-40B4-BE49-F238E27FC236}">
              <a16:creationId xmlns:a16="http://schemas.microsoft.com/office/drawing/2014/main" id="{00000000-0008-0000-0400-00002A2C0000}"/>
            </a:ext>
          </a:extLst>
        </xdr:cNvPr>
        <xdr:cNvSpPr>
          <a:spLocks noChangeArrowheads="1"/>
        </xdr:cNvSpPr>
      </xdr:nvSpPr>
      <xdr:spPr bwMode="auto">
        <a:xfrm>
          <a:off x="9848850" y="1495425"/>
          <a:ext cx="342900" cy="180975"/>
        </a:xfrm>
        <a:prstGeom prst="homePlate">
          <a:avLst>
            <a:gd name="adj" fmla="val 47368"/>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明朝"/>
              <a:ea typeface="ＭＳ Ｐ明朝"/>
            </a:rPr>
            <a:t>UT</a:t>
          </a:r>
        </a:p>
      </xdr:txBody>
    </xdr:sp>
    <xdr:clientData/>
  </xdr:twoCellAnchor>
  <xdr:twoCellAnchor>
    <xdr:from>
      <xdr:col>25</xdr:col>
      <xdr:colOff>0</xdr:colOff>
      <xdr:row>9</xdr:row>
      <xdr:rowOff>133350</xdr:rowOff>
    </xdr:from>
    <xdr:to>
      <xdr:col>25</xdr:col>
      <xdr:colOff>361950</xdr:colOff>
      <xdr:row>10</xdr:row>
      <xdr:rowOff>142875</xdr:rowOff>
    </xdr:to>
    <xdr:sp macro="" textlink="">
      <xdr:nvSpPr>
        <xdr:cNvPr id="11307" name="AutoShape 43">
          <a:extLst>
            <a:ext uri="{FF2B5EF4-FFF2-40B4-BE49-F238E27FC236}">
              <a16:creationId xmlns:a16="http://schemas.microsoft.com/office/drawing/2014/main" id="{00000000-0008-0000-0400-00002B2C0000}"/>
            </a:ext>
          </a:extLst>
        </xdr:cNvPr>
        <xdr:cNvSpPr>
          <a:spLocks noChangeArrowheads="1"/>
        </xdr:cNvSpPr>
      </xdr:nvSpPr>
      <xdr:spPr bwMode="auto">
        <a:xfrm>
          <a:off x="10201275" y="1495425"/>
          <a:ext cx="361950" cy="171450"/>
        </a:xfrm>
        <a:prstGeom prst="homePlate">
          <a:avLst>
            <a:gd name="adj" fmla="val 52778"/>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明朝"/>
              <a:ea typeface="ＭＳ Ｐ明朝"/>
            </a:rPr>
            <a:t>TR</a:t>
          </a:r>
        </a:p>
      </xdr:txBody>
    </xdr:sp>
    <xdr:clientData/>
  </xdr:twoCellAnchor>
  <xdr:twoCellAnchor>
    <xdr:from>
      <xdr:col>25</xdr:col>
      <xdr:colOff>361950</xdr:colOff>
      <xdr:row>9</xdr:row>
      <xdr:rowOff>142875</xdr:rowOff>
    </xdr:from>
    <xdr:to>
      <xdr:col>27</xdr:col>
      <xdr:colOff>123825</xdr:colOff>
      <xdr:row>10</xdr:row>
      <xdr:rowOff>133350</xdr:rowOff>
    </xdr:to>
    <xdr:sp macro="" textlink="">
      <xdr:nvSpPr>
        <xdr:cNvPr id="11308" name="AutoShape 44">
          <a:extLst>
            <a:ext uri="{FF2B5EF4-FFF2-40B4-BE49-F238E27FC236}">
              <a16:creationId xmlns:a16="http://schemas.microsoft.com/office/drawing/2014/main" id="{00000000-0008-0000-0400-00002C2C0000}"/>
            </a:ext>
          </a:extLst>
        </xdr:cNvPr>
        <xdr:cNvSpPr>
          <a:spLocks noChangeArrowheads="1"/>
        </xdr:cNvSpPr>
      </xdr:nvSpPr>
      <xdr:spPr bwMode="auto">
        <a:xfrm>
          <a:off x="10563225" y="1504950"/>
          <a:ext cx="523875" cy="152400"/>
        </a:xfrm>
        <a:prstGeom prst="homePlate">
          <a:avLst>
            <a:gd name="adj" fmla="val 85938"/>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sz="1100" b="0" i="0" u="none" strike="noStrike" baseline="0">
              <a:solidFill>
                <a:srgbClr val="000000"/>
              </a:solidFill>
              <a:latin typeface="ＭＳ Ｐ明朝"/>
              <a:ea typeface="ＭＳ Ｐ明朝"/>
            </a:rPr>
            <a:t>IP</a:t>
          </a:r>
        </a:p>
      </xdr:txBody>
    </xdr:sp>
    <xdr:clientData/>
  </xdr:twoCellAnchor>
  <xdr:twoCellAnchor>
    <xdr:from>
      <xdr:col>28</xdr:col>
      <xdr:colOff>66675</xdr:colOff>
      <xdr:row>1</xdr:row>
      <xdr:rowOff>104775</xdr:rowOff>
    </xdr:from>
    <xdr:to>
      <xdr:col>33</xdr:col>
      <xdr:colOff>28575</xdr:colOff>
      <xdr:row>6</xdr:row>
      <xdr:rowOff>142875</xdr:rowOff>
    </xdr:to>
    <xdr:grpSp>
      <xdr:nvGrpSpPr>
        <xdr:cNvPr id="11309" name="Group 45">
          <a:extLst>
            <a:ext uri="{FF2B5EF4-FFF2-40B4-BE49-F238E27FC236}">
              <a16:creationId xmlns:a16="http://schemas.microsoft.com/office/drawing/2014/main" id="{00000000-0008-0000-0400-00002D2C0000}"/>
            </a:ext>
          </a:extLst>
        </xdr:cNvPr>
        <xdr:cNvGrpSpPr>
          <a:grpSpLocks/>
        </xdr:cNvGrpSpPr>
      </xdr:nvGrpSpPr>
      <xdr:grpSpPr bwMode="auto">
        <a:xfrm>
          <a:off x="12258675" y="266700"/>
          <a:ext cx="2009775" cy="723900"/>
          <a:chOff x="932" y="15"/>
          <a:chExt cx="196" cy="76"/>
        </a:xfrm>
      </xdr:grpSpPr>
      <xdr:sp macro="" textlink="">
        <xdr:nvSpPr>
          <xdr:cNvPr id="11310" name="Text Box 46">
            <a:extLst>
              <a:ext uri="{FF2B5EF4-FFF2-40B4-BE49-F238E27FC236}">
                <a16:creationId xmlns:a16="http://schemas.microsoft.com/office/drawing/2014/main" id="{00000000-0008-0000-0400-00002E2C0000}"/>
              </a:ext>
            </a:extLst>
          </xdr:cNvPr>
          <xdr:cNvSpPr txBox="1">
            <a:spLocks noChangeArrowheads="1"/>
          </xdr:cNvSpPr>
        </xdr:nvSpPr>
        <xdr:spPr bwMode="auto">
          <a:xfrm>
            <a:off x="932" y="15"/>
            <a:ext cx="93" cy="21"/>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Vendor PIC</a:t>
            </a:r>
          </a:p>
        </xdr:txBody>
      </xdr:sp>
      <xdr:sp macro="" textlink="">
        <xdr:nvSpPr>
          <xdr:cNvPr id="11311" name="Text Box 47">
            <a:extLst>
              <a:ext uri="{FF2B5EF4-FFF2-40B4-BE49-F238E27FC236}">
                <a16:creationId xmlns:a16="http://schemas.microsoft.com/office/drawing/2014/main" id="{00000000-0008-0000-0400-00002F2C0000}"/>
              </a:ext>
            </a:extLst>
          </xdr:cNvPr>
          <xdr:cNvSpPr txBox="1">
            <a:spLocks noChangeArrowheads="1"/>
          </xdr:cNvSpPr>
        </xdr:nvSpPr>
        <xdr:spPr bwMode="auto">
          <a:xfrm>
            <a:off x="1025" y="15"/>
            <a:ext cx="103" cy="21"/>
          </a:xfrm>
          <a:prstGeom prst="rect">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1" i="0" u="none" strike="noStrike" baseline="0">
                <a:solidFill>
                  <a:srgbClr val="000000"/>
                </a:solidFill>
                <a:latin typeface="Arial"/>
                <a:cs typeface="Arial"/>
              </a:rPr>
              <a:t>ISD PIC</a:t>
            </a:r>
          </a:p>
        </xdr:txBody>
      </xdr:sp>
      <xdr:sp macro="" textlink="">
        <xdr:nvSpPr>
          <xdr:cNvPr id="11312" name="Rectangle 48">
            <a:extLst>
              <a:ext uri="{FF2B5EF4-FFF2-40B4-BE49-F238E27FC236}">
                <a16:creationId xmlns:a16="http://schemas.microsoft.com/office/drawing/2014/main" id="{00000000-0008-0000-0400-0000302C0000}"/>
              </a:ext>
            </a:extLst>
          </xdr:cNvPr>
          <xdr:cNvSpPr>
            <a:spLocks noChangeArrowheads="1"/>
          </xdr:cNvSpPr>
        </xdr:nvSpPr>
        <xdr:spPr bwMode="auto">
          <a:xfrm>
            <a:off x="932" y="35"/>
            <a:ext cx="196" cy="38"/>
          </a:xfrm>
          <a:prstGeom prst="rect">
            <a:avLst/>
          </a:prstGeom>
          <a:solidFill>
            <a:srgbClr val="FFFFFF"/>
          </a:solidFill>
          <a:ln w="9525">
            <a:solidFill>
              <a:srgbClr val="000000"/>
            </a:solidFill>
            <a:miter lim="800000"/>
            <a:headEnd/>
            <a:tailEnd/>
          </a:ln>
        </xdr:spPr>
      </xdr:sp>
      <xdr:sp macro="" textlink="">
        <xdr:nvSpPr>
          <xdr:cNvPr id="11313" name="Rectangle 49">
            <a:extLst>
              <a:ext uri="{FF2B5EF4-FFF2-40B4-BE49-F238E27FC236}">
                <a16:creationId xmlns:a16="http://schemas.microsoft.com/office/drawing/2014/main" id="{00000000-0008-0000-0400-0000312C0000}"/>
              </a:ext>
            </a:extLst>
          </xdr:cNvPr>
          <xdr:cNvSpPr>
            <a:spLocks noChangeArrowheads="1"/>
          </xdr:cNvSpPr>
        </xdr:nvSpPr>
        <xdr:spPr bwMode="auto">
          <a:xfrm>
            <a:off x="932" y="73"/>
            <a:ext cx="196" cy="18"/>
          </a:xfrm>
          <a:prstGeom prst="rect">
            <a:avLst/>
          </a:prstGeom>
          <a:solidFill>
            <a:srgbClr val="FFFFFF"/>
          </a:solidFill>
          <a:ln w="9525">
            <a:solidFill>
              <a:srgbClr val="000000"/>
            </a:solidFill>
            <a:miter lim="800000"/>
            <a:headEnd/>
            <a:tailEnd/>
          </a:ln>
        </xdr:spPr>
      </xdr:sp>
      <xdr:sp macro="" textlink="">
        <xdr:nvSpPr>
          <xdr:cNvPr id="11314" name="Line 50">
            <a:extLst>
              <a:ext uri="{FF2B5EF4-FFF2-40B4-BE49-F238E27FC236}">
                <a16:creationId xmlns:a16="http://schemas.microsoft.com/office/drawing/2014/main" id="{00000000-0008-0000-0400-0000322C0000}"/>
              </a:ext>
            </a:extLst>
          </xdr:cNvPr>
          <xdr:cNvSpPr>
            <a:spLocks noChangeShapeType="1"/>
          </xdr:cNvSpPr>
        </xdr:nvSpPr>
        <xdr:spPr bwMode="auto">
          <a:xfrm>
            <a:off x="1025" y="33"/>
            <a:ext cx="0" cy="58"/>
          </a:xfrm>
          <a:prstGeom prst="line">
            <a:avLst/>
          </a:prstGeom>
          <a:noFill/>
          <a:ln w="9525">
            <a:solidFill>
              <a:srgbClr val="000000"/>
            </a:solidFill>
            <a:round/>
            <a:headEnd/>
            <a:tailEnd/>
          </a:ln>
        </xdr:spPr>
      </xdr:sp>
    </xdr:grpSp>
    <xdr:clientData/>
  </xdr:twoCellAnchor>
  <xdr:twoCellAnchor>
    <xdr:from>
      <xdr:col>20</xdr:col>
      <xdr:colOff>114300</xdr:colOff>
      <xdr:row>7</xdr:row>
      <xdr:rowOff>76200</xdr:rowOff>
    </xdr:from>
    <xdr:to>
      <xdr:col>20</xdr:col>
      <xdr:colOff>114300</xdr:colOff>
      <xdr:row>12</xdr:row>
      <xdr:rowOff>0</xdr:rowOff>
    </xdr:to>
    <xdr:sp macro="" textlink="">
      <xdr:nvSpPr>
        <xdr:cNvPr id="11315" name="Line 51">
          <a:extLst>
            <a:ext uri="{FF2B5EF4-FFF2-40B4-BE49-F238E27FC236}">
              <a16:creationId xmlns:a16="http://schemas.microsoft.com/office/drawing/2014/main" id="{00000000-0008-0000-0400-0000332C0000}"/>
            </a:ext>
          </a:extLst>
        </xdr:cNvPr>
        <xdr:cNvSpPr>
          <a:spLocks noChangeShapeType="1"/>
        </xdr:cNvSpPr>
      </xdr:nvSpPr>
      <xdr:spPr bwMode="auto">
        <a:xfrm>
          <a:off x="8410575" y="1114425"/>
          <a:ext cx="0" cy="733425"/>
        </a:xfrm>
        <a:prstGeom prst="line">
          <a:avLst/>
        </a:prstGeom>
        <a:noFill/>
        <a:ln w="9525">
          <a:solidFill>
            <a:srgbClr val="FF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152400</xdr:colOff>
      <xdr:row>1</xdr:row>
      <xdr:rowOff>66675</xdr:rowOff>
    </xdr:from>
    <xdr:to>
      <xdr:col>31</xdr:col>
      <xdr:colOff>371475</xdr:colOff>
      <xdr:row>37</xdr:row>
      <xdr:rowOff>142875</xdr:rowOff>
    </xdr:to>
    <xdr:graphicFrame macro="">
      <xdr:nvGraphicFramePr>
        <xdr:cNvPr id="19457" name="Chart 1">
          <a:extLst>
            <a:ext uri="{FF2B5EF4-FFF2-40B4-BE49-F238E27FC236}">
              <a16:creationId xmlns:a16="http://schemas.microsoft.com/office/drawing/2014/main" id="{00000000-0008-0000-0500-0000014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295275</xdr:colOff>
      <xdr:row>4</xdr:row>
      <xdr:rowOff>142875</xdr:rowOff>
    </xdr:from>
    <xdr:to>
      <xdr:col>19</xdr:col>
      <xdr:colOff>295275</xdr:colOff>
      <xdr:row>30</xdr:row>
      <xdr:rowOff>123825</xdr:rowOff>
    </xdr:to>
    <xdr:sp macro="" textlink="">
      <xdr:nvSpPr>
        <xdr:cNvPr id="19458" name="Line 2">
          <a:extLst>
            <a:ext uri="{FF2B5EF4-FFF2-40B4-BE49-F238E27FC236}">
              <a16:creationId xmlns:a16="http://schemas.microsoft.com/office/drawing/2014/main" id="{00000000-0008-0000-0500-0000024C0000}"/>
            </a:ext>
          </a:extLst>
        </xdr:cNvPr>
        <xdr:cNvSpPr>
          <a:spLocks noChangeShapeType="1"/>
        </xdr:cNvSpPr>
      </xdr:nvSpPr>
      <xdr:spPr bwMode="auto">
        <a:xfrm flipV="1">
          <a:off x="8248650" y="790575"/>
          <a:ext cx="0" cy="4191000"/>
        </a:xfrm>
        <a:prstGeom prst="line">
          <a:avLst/>
        </a:prstGeom>
        <a:noFill/>
        <a:ln w="38100">
          <a:solidFill>
            <a:srgbClr val="000000"/>
          </a:solidFill>
          <a:round/>
          <a:headEnd/>
          <a:tailEnd/>
        </a:ln>
      </xdr:spPr>
    </xdr:sp>
    <xdr:clientData/>
  </xdr:twoCellAnchor>
  <xdr:twoCellAnchor>
    <xdr:from>
      <xdr:col>18</xdr:col>
      <xdr:colOff>200025</xdr:colOff>
      <xdr:row>2</xdr:row>
      <xdr:rowOff>123825</xdr:rowOff>
    </xdr:from>
    <xdr:to>
      <xdr:col>21</xdr:col>
      <xdr:colOff>9525</xdr:colOff>
      <xdr:row>4</xdr:row>
      <xdr:rowOff>133350</xdr:rowOff>
    </xdr:to>
    <xdr:sp macro="" textlink="">
      <xdr:nvSpPr>
        <xdr:cNvPr id="19459" name="AutoShape 3">
          <a:extLst>
            <a:ext uri="{FF2B5EF4-FFF2-40B4-BE49-F238E27FC236}">
              <a16:creationId xmlns:a16="http://schemas.microsoft.com/office/drawing/2014/main" id="{00000000-0008-0000-0500-0000034C0000}"/>
            </a:ext>
          </a:extLst>
        </xdr:cNvPr>
        <xdr:cNvSpPr>
          <a:spLocks noChangeArrowheads="1"/>
        </xdr:cNvSpPr>
      </xdr:nvSpPr>
      <xdr:spPr bwMode="auto">
        <a:xfrm>
          <a:off x="7772400" y="447675"/>
          <a:ext cx="952500" cy="333375"/>
        </a:xfrm>
        <a:prstGeom prst="flowChartDecision">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END</a:t>
          </a:r>
        </a:p>
      </xdr:txBody>
    </xdr:sp>
    <xdr:clientData/>
  </xdr:twoCellAnchor>
  <xdr:twoCellAnchor>
    <xdr:from>
      <xdr:col>2</xdr:col>
      <xdr:colOff>285750</xdr:colOff>
      <xdr:row>4</xdr:row>
      <xdr:rowOff>57150</xdr:rowOff>
    </xdr:from>
    <xdr:to>
      <xdr:col>2</xdr:col>
      <xdr:colOff>285750</xdr:colOff>
      <xdr:row>30</xdr:row>
      <xdr:rowOff>38100</xdr:rowOff>
    </xdr:to>
    <xdr:sp macro="" textlink="">
      <xdr:nvSpPr>
        <xdr:cNvPr id="19460" name="Line 4">
          <a:extLst>
            <a:ext uri="{FF2B5EF4-FFF2-40B4-BE49-F238E27FC236}">
              <a16:creationId xmlns:a16="http://schemas.microsoft.com/office/drawing/2014/main" id="{00000000-0008-0000-0500-0000044C0000}"/>
            </a:ext>
          </a:extLst>
        </xdr:cNvPr>
        <xdr:cNvSpPr>
          <a:spLocks noChangeShapeType="1"/>
        </xdr:cNvSpPr>
      </xdr:nvSpPr>
      <xdr:spPr bwMode="auto">
        <a:xfrm flipV="1">
          <a:off x="1762125" y="704850"/>
          <a:ext cx="0" cy="4191000"/>
        </a:xfrm>
        <a:prstGeom prst="line">
          <a:avLst/>
        </a:prstGeom>
        <a:noFill/>
        <a:ln w="38100">
          <a:solidFill>
            <a:srgbClr val="000000"/>
          </a:solidFill>
          <a:round/>
          <a:headEnd/>
          <a:tailEnd/>
        </a:ln>
      </xdr:spPr>
    </xdr:sp>
    <xdr:clientData/>
  </xdr:twoCellAnchor>
  <xdr:twoCellAnchor>
    <xdr:from>
      <xdr:col>1</xdr:col>
      <xdr:colOff>1095375</xdr:colOff>
      <xdr:row>2</xdr:row>
      <xdr:rowOff>38100</xdr:rowOff>
    </xdr:from>
    <xdr:to>
      <xdr:col>4</xdr:col>
      <xdr:colOff>57150</xdr:colOff>
      <xdr:row>4</xdr:row>
      <xdr:rowOff>47625</xdr:rowOff>
    </xdr:to>
    <xdr:sp macro="" textlink="">
      <xdr:nvSpPr>
        <xdr:cNvPr id="19461" name="AutoShape 5">
          <a:extLst>
            <a:ext uri="{FF2B5EF4-FFF2-40B4-BE49-F238E27FC236}">
              <a16:creationId xmlns:a16="http://schemas.microsoft.com/office/drawing/2014/main" id="{00000000-0008-0000-0500-0000054C0000}"/>
            </a:ext>
          </a:extLst>
        </xdr:cNvPr>
        <xdr:cNvSpPr>
          <a:spLocks noChangeArrowheads="1"/>
        </xdr:cNvSpPr>
      </xdr:nvSpPr>
      <xdr:spPr bwMode="auto">
        <a:xfrm>
          <a:off x="1228725" y="361950"/>
          <a:ext cx="1066800" cy="333375"/>
        </a:xfrm>
        <a:prstGeom prst="flowChartDecision">
          <a:avLst/>
        </a:prstGeom>
        <a:solidFill>
          <a:srgbClr val="FFFFFF"/>
        </a:solidFill>
        <a:ln w="9525">
          <a:solidFill>
            <a:srgbClr val="0000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START</a:t>
          </a:r>
        </a:p>
      </xdr:txBody>
    </xdr:sp>
    <xdr:clientData/>
  </xdr:twoCellAnchor>
  <xdr:twoCellAnchor>
    <xdr:from>
      <xdr:col>17</xdr:col>
      <xdr:colOff>342900</xdr:colOff>
      <xdr:row>4</xdr:row>
      <xdr:rowOff>142875</xdr:rowOff>
    </xdr:from>
    <xdr:to>
      <xdr:col>17</xdr:col>
      <xdr:colOff>342900</xdr:colOff>
      <xdr:row>30</xdr:row>
      <xdr:rowOff>123825</xdr:rowOff>
    </xdr:to>
    <xdr:sp macro="" textlink="">
      <xdr:nvSpPr>
        <xdr:cNvPr id="19462" name="Line 6">
          <a:extLst>
            <a:ext uri="{FF2B5EF4-FFF2-40B4-BE49-F238E27FC236}">
              <a16:creationId xmlns:a16="http://schemas.microsoft.com/office/drawing/2014/main" id="{00000000-0008-0000-0500-0000064C0000}"/>
            </a:ext>
          </a:extLst>
        </xdr:cNvPr>
        <xdr:cNvSpPr>
          <a:spLocks noChangeShapeType="1"/>
        </xdr:cNvSpPr>
      </xdr:nvSpPr>
      <xdr:spPr bwMode="auto">
        <a:xfrm flipV="1">
          <a:off x="7534275" y="790575"/>
          <a:ext cx="0" cy="4191000"/>
        </a:xfrm>
        <a:prstGeom prst="line">
          <a:avLst/>
        </a:prstGeom>
        <a:noFill/>
        <a:ln w="38100">
          <a:solidFill>
            <a:srgbClr val="993300"/>
          </a:solidFill>
          <a:round/>
          <a:headEnd/>
          <a:tailEnd/>
        </a:ln>
      </xdr:spPr>
    </xdr:sp>
    <xdr:clientData/>
  </xdr:twoCellAnchor>
  <xdr:twoCellAnchor>
    <xdr:from>
      <xdr:col>16</xdr:col>
      <xdr:colOff>209550</xdr:colOff>
      <xdr:row>2</xdr:row>
      <xdr:rowOff>133350</xdr:rowOff>
    </xdr:from>
    <xdr:to>
      <xdr:col>19</xdr:col>
      <xdr:colOff>95250</xdr:colOff>
      <xdr:row>4</xdr:row>
      <xdr:rowOff>142875</xdr:rowOff>
    </xdr:to>
    <xdr:sp macro="" textlink="">
      <xdr:nvSpPr>
        <xdr:cNvPr id="19463" name="AutoShape 7">
          <a:extLst>
            <a:ext uri="{FF2B5EF4-FFF2-40B4-BE49-F238E27FC236}">
              <a16:creationId xmlns:a16="http://schemas.microsoft.com/office/drawing/2014/main" id="{00000000-0008-0000-0500-0000074C0000}"/>
            </a:ext>
          </a:extLst>
        </xdr:cNvPr>
        <xdr:cNvSpPr>
          <a:spLocks noChangeArrowheads="1"/>
        </xdr:cNvSpPr>
      </xdr:nvSpPr>
      <xdr:spPr bwMode="auto">
        <a:xfrm>
          <a:off x="7019925" y="457200"/>
          <a:ext cx="1028700" cy="333375"/>
        </a:xfrm>
        <a:prstGeom prst="flowChartDecision">
          <a:avLst/>
        </a:prstGeom>
        <a:solidFill>
          <a:srgbClr val="FFFFFF"/>
        </a:solidFill>
        <a:ln w="9525">
          <a:solidFill>
            <a:srgbClr val="993300"/>
          </a:solid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TODAY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AH76"/>
  <sheetViews>
    <sheetView showGridLines="0" tabSelected="1" topLeftCell="A37" zoomScale="145" zoomScaleNormal="145" workbookViewId="0">
      <selection activeCell="O55" sqref="O55:P56"/>
    </sheetView>
  </sheetViews>
  <sheetFormatPr defaultColWidth="10.265625" defaultRowHeight="12.95" customHeight="1"/>
  <cols>
    <col min="1" max="1" width="2.73046875" style="1" customWidth="1"/>
    <col min="2" max="2" width="18" style="1" customWidth="1"/>
    <col min="3" max="15" width="5.73046875" style="1" customWidth="1"/>
    <col min="16" max="16" width="6.59765625" style="1" customWidth="1"/>
    <col min="17" max="36" width="5.73046875" style="1" customWidth="1"/>
    <col min="37" max="16384" width="10.265625" style="1"/>
  </cols>
  <sheetData>
    <row r="1" spans="2:34" s="2" customFormat="1" ht="12.95" customHeight="1">
      <c r="P1" s="15"/>
    </row>
    <row r="2" spans="2:34" s="2" customFormat="1" ht="11.25" customHeight="1"/>
    <row r="3" spans="2:34" s="2" customFormat="1" ht="9.75" customHeight="1"/>
    <row r="4" spans="2:34" s="2" customFormat="1" ht="7.5" customHeight="1"/>
    <row r="5" spans="2:34" s="2" customFormat="1" ht="12.95" customHeight="1">
      <c r="B5" s="31" t="s">
        <v>0</v>
      </c>
    </row>
    <row r="6" spans="2:34" s="2" customFormat="1" ht="12.95" customHeight="1" thickBot="1"/>
    <row r="7" spans="2:34" s="19" customFormat="1" ht="15" customHeight="1" thickBot="1">
      <c r="B7" s="20"/>
      <c r="C7" s="200">
        <v>45444</v>
      </c>
      <c r="D7" s="201"/>
      <c r="E7" s="201">
        <f>C7+31</f>
        <v>45475</v>
      </c>
      <c r="F7" s="201"/>
      <c r="G7" s="201">
        <f>E7+31</f>
        <v>45506</v>
      </c>
      <c r="H7" s="201"/>
      <c r="I7" s="201">
        <f>G7+31</f>
        <v>45537</v>
      </c>
      <c r="J7" s="201"/>
      <c r="K7" s="201">
        <f>I7+31</f>
        <v>45568</v>
      </c>
      <c r="L7" s="201"/>
      <c r="M7" s="201">
        <f>K7+31</f>
        <v>45599</v>
      </c>
      <c r="N7" s="201"/>
      <c r="O7" s="201">
        <f>M7+31</f>
        <v>45630</v>
      </c>
      <c r="P7" s="201"/>
      <c r="Q7" s="201">
        <f>O7+31</f>
        <v>45661</v>
      </c>
      <c r="R7" s="201"/>
      <c r="S7" s="201">
        <f>Q7+31</f>
        <v>45692</v>
      </c>
      <c r="T7" s="201"/>
      <c r="U7" s="201">
        <f>S7+31</f>
        <v>45723</v>
      </c>
      <c r="V7" s="201"/>
      <c r="W7" s="201">
        <f>U7+31</f>
        <v>45754</v>
      </c>
      <c r="X7" s="201"/>
      <c r="Y7" s="201">
        <f>W7+31</f>
        <v>45785</v>
      </c>
      <c r="Z7" s="201"/>
      <c r="AA7" s="201">
        <f>Y7+31</f>
        <v>45816</v>
      </c>
      <c r="AB7" s="262"/>
    </row>
    <row r="8" spans="2:34" s="2" customFormat="1" ht="12.95" customHeight="1">
      <c r="B8" s="21"/>
      <c r="D8" s="22"/>
      <c r="E8" s="23"/>
      <c r="F8" s="24"/>
      <c r="G8" s="24"/>
      <c r="H8" s="24"/>
      <c r="I8" s="24"/>
      <c r="J8" s="24"/>
      <c r="K8" s="24"/>
      <c r="L8" s="22"/>
      <c r="N8" s="22"/>
      <c r="O8" s="23"/>
      <c r="P8" s="24"/>
      <c r="Q8" s="24"/>
      <c r="R8" s="24"/>
      <c r="S8" s="24"/>
      <c r="T8" s="24"/>
      <c r="U8" s="24"/>
      <c r="V8" s="24"/>
      <c r="W8" s="24"/>
      <c r="X8" s="24"/>
      <c r="Y8" s="24"/>
      <c r="Z8" s="24"/>
      <c r="AA8" s="24"/>
      <c r="AB8" s="32"/>
    </row>
    <row r="9" spans="2:34" s="2" customFormat="1" ht="12.95" customHeight="1">
      <c r="B9" s="25" t="s">
        <v>1</v>
      </c>
      <c r="D9" s="24"/>
      <c r="E9" s="23"/>
      <c r="F9" s="24"/>
      <c r="G9" s="24"/>
      <c r="H9" s="24"/>
      <c r="I9" s="24"/>
      <c r="J9" s="24"/>
      <c r="K9" s="24"/>
      <c r="L9" s="24"/>
      <c r="N9" s="24"/>
      <c r="O9" s="23"/>
      <c r="P9" s="24"/>
      <c r="Q9" s="24"/>
      <c r="R9" s="24"/>
      <c r="S9" s="24"/>
      <c r="T9" s="24"/>
      <c r="U9" s="24"/>
      <c r="V9" s="24"/>
      <c r="W9" s="24"/>
      <c r="X9" s="24"/>
      <c r="Y9" s="24"/>
      <c r="Z9" s="24"/>
      <c r="AA9" s="24"/>
      <c r="AB9" s="32"/>
    </row>
    <row r="10" spans="2:34" s="2" customFormat="1" ht="12.95" customHeight="1">
      <c r="B10" s="26"/>
      <c r="D10" s="24"/>
      <c r="E10" s="23"/>
      <c r="F10" s="24"/>
      <c r="G10" s="24"/>
      <c r="H10" s="24"/>
      <c r="I10" s="24"/>
      <c r="J10" s="24"/>
      <c r="K10" s="24"/>
      <c r="L10" s="24"/>
      <c r="N10" s="24"/>
      <c r="O10" s="23"/>
      <c r="P10" s="24"/>
      <c r="Q10" s="24"/>
      <c r="R10" s="24"/>
      <c r="S10" s="24"/>
      <c r="T10" s="24"/>
      <c r="U10" s="24"/>
      <c r="V10" s="24"/>
      <c r="W10" s="24"/>
      <c r="X10" s="24"/>
      <c r="Y10" s="24"/>
      <c r="Z10" s="24"/>
      <c r="AA10" s="24"/>
      <c r="AB10" s="32"/>
    </row>
    <row r="11" spans="2:34" s="2" customFormat="1" ht="12.95" customHeight="1">
      <c r="B11" s="26"/>
      <c r="D11" s="24"/>
      <c r="E11" s="23"/>
      <c r="F11" s="24"/>
      <c r="G11" s="24"/>
      <c r="H11" s="24"/>
      <c r="I11" s="24"/>
      <c r="J11" s="24"/>
      <c r="K11" s="24"/>
      <c r="L11" s="24"/>
      <c r="N11" s="24"/>
      <c r="O11" s="23"/>
      <c r="P11" s="24"/>
      <c r="Q11" s="24"/>
      <c r="R11" s="24"/>
      <c r="S11" s="24"/>
      <c r="T11" s="24"/>
      <c r="U11" s="24"/>
      <c r="V11" s="24"/>
      <c r="W11" s="24"/>
      <c r="X11" s="24"/>
      <c r="Y11" s="24"/>
      <c r="Z11" s="24"/>
      <c r="AA11" s="24"/>
      <c r="AB11" s="32"/>
    </row>
    <row r="12" spans="2:34" s="2" customFormat="1" ht="12.95" customHeight="1" thickBot="1">
      <c r="B12" s="27"/>
      <c r="C12" s="28"/>
      <c r="D12" s="29"/>
      <c r="E12" s="30"/>
      <c r="F12" s="29"/>
      <c r="G12" s="29"/>
      <c r="H12" s="29"/>
      <c r="I12" s="29"/>
      <c r="J12" s="29"/>
      <c r="K12" s="29"/>
      <c r="L12" s="29"/>
      <c r="M12" s="28"/>
      <c r="N12" s="29"/>
      <c r="O12" s="30"/>
      <c r="P12" s="29"/>
      <c r="Q12" s="29"/>
      <c r="R12" s="29"/>
      <c r="S12" s="29"/>
      <c r="T12" s="29"/>
      <c r="U12" s="29"/>
      <c r="V12" s="29"/>
      <c r="W12" s="29"/>
      <c r="X12" s="29"/>
      <c r="Y12" s="29"/>
      <c r="Z12" s="29"/>
      <c r="AA12" s="29"/>
      <c r="AB12" s="33"/>
    </row>
    <row r="13" spans="2:34" s="2" customFormat="1" ht="6.75" customHeight="1"/>
    <row r="14" spans="2:34" s="2" customFormat="1" ht="15.75" customHeight="1">
      <c r="Y14" s="150"/>
    </row>
    <row r="15" spans="2:34" s="7" customFormat="1" ht="12.95" customHeight="1">
      <c r="B15" s="142" t="s">
        <v>2</v>
      </c>
      <c r="C15" s="8">
        <v>45524</v>
      </c>
      <c r="D15" s="8">
        <f t="shared" ref="D15:AF15" si="0">C15+7</f>
        <v>45531</v>
      </c>
      <c r="E15" s="8">
        <f t="shared" si="0"/>
        <v>45538</v>
      </c>
      <c r="F15" s="8">
        <f t="shared" si="0"/>
        <v>45545</v>
      </c>
      <c r="G15" s="8">
        <f t="shared" si="0"/>
        <v>45552</v>
      </c>
      <c r="H15" s="8">
        <f t="shared" si="0"/>
        <v>45559</v>
      </c>
      <c r="I15" s="8">
        <f t="shared" si="0"/>
        <v>45566</v>
      </c>
      <c r="J15" s="8">
        <f t="shared" si="0"/>
        <v>45573</v>
      </c>
      <c r="K15" s="8">
        <f t="shared" si="0"/>
        <v>45580</v>
      </c>
      <c r="L15" s="8">
        <f t="shared" si="0"/>
        <v>45587</v>
      </c>
      <c r="M15" s="8">
        <f t="shared" si="0"/>
        <v>45594</v>
      </c>
      <c r="N15" s="8">
        <f t="shared" si="0"/>
        <v>45601</v>
      </c>
      <c r="O15" s="8">
        <f t="shared" si="0"/>
        <v>45608</v>
      </c>
      <c r="P15" s="8">
        <f t="shared" si="0"/>
        <v>45615</v>
      </c>
      <c r="Q15" s="8">
        <f t="shared" si="0"/>
        <v>45622</v>
      </c>
      <c r="R15" s="8">
        <f t="shared" si="0"/>
        <v>45629</v>
      </c>
      <c r="S15" s="8">
        <f t="shared" si="0"/>
        <v>45636</v>
      </c>
      <c r="T15" s="8">
        <f t="shared" si="0"/>
        <v>45643</v>
      </c>
      <c r="U15" s="8">
        <f t="shared" si="0"/>
        <v>45650</v>
      </c>
      <c r="V15" s="8">
        <f t="shared" si="0"/>
        <v>45657</v>
      </c>
      <c r="W15" s="8">
        <f t="shared" si="0"/>
        <v>45664</v>
      </c>
      <c r="X15" s="8">
        <f t="shared" si="0"/>
        <v>45671</v>
      </c>
      <c r="Y15" s="8">
        <f t="shared" si="0"/>
        <v>45678</v>
      </c>
      <c r="Z15" s="8">
        <f t="shared" si="0"/>
        <v>45685</v>
      </c>
      <c r="AA15" s="8">
        <f t="shared" si="0"/>
        <v>45692</v>
      </c>
      <c r="AB15" s="8">
        <f t="shared" si="0"/>
        <v>45699</v>
      </c>
      <c r="AC15" s="8">
        <f t="shared" si="0"/>
        <v>45706</v>
      </c>
      <c r="AD15" s="8">
        <f t="shared" si="0"/>
        <v>45713</v>
      </c>
      <c r="AE15" s="8">
        <f t="shared" si="0"/>
        <v>45720</v>
      </c>
      <c r="AF15" s="8">
        <f t="shared" si="0"/>
        <v>45727</v>
      </c>
    </row>
    <row r="16" spans="2:34" s="7" customFormat="1" ht="12.95" customHeight="1">
      <c r="C16" s="9"/>
      <c r="D16" s="9"/>
      <c r="E16" s="9"/>
      <c r="F16" s="9"/>
      <c r="G16" s="9"/>
      <c r="H16" s="9"/>
      <c r="I16" s="9"/>
      <c r="J16" s="9"/>
      <c r="K16" s="9"/>
      <c r="L16" s="9"/>
      <c r="M16" s="9"/>
      <c r="N16" s="9"/>
      <c r="O16" s="9"/>
      <c r="P16" s="9"/>
      <c r="Q16" s="9"/>
      <c r="R16" s="9"/>
      <c r="S16" s="9"/>
      <c r="T16" s="9"/>
      <c r="U16" s="9"/>
      <c r="V16" s="9"/>
      <c r="Z16" s="9"/>
      <c r="AA16" s="9"/>
      <c r="AB16" s="9"/>
      <c r="AC16" s="9"/>
      <c r="AD16" s="9"/>
      <c r="AE16" s="9"/>
      <c r="AF16" s="9"/>
      <c r="AG16" s="9"/>
      <c r="AH16" s="9"/>
    </row>
    <row r="17" spans="2:34" s="7" customFormat="1" ht="12.95" customHeight="1">
      <c r="C17" s="9"/>
      <c r="D17" s="9"/>
      <c r="E17" s="9"/>
      <c r="F17" s="9"/>
      <c r="G17" s="9"/>
      <c r="H17" s="9"/>
      <c r="I17" s="9"/>
      <c r="J17" s="9"/>
      <c r="K17" s="9"/>
      <c r="L17" s="9"/>
      <c r="M17" s="9"/>
      <c r="N17" s="9"/>
      <c r="O17" s="9"/>
      <c r="P17" s="9"/>
      <c r="Q17" s="9"/>
      <c r="R17" s="9"/>
      <c r="S17" s="9"/>
      <c r="T17" s="9"/>
      <c r="U17" s="9"/>
      <c r="V17" s="9"/>
      <c r="Z17" s="9"/>
      <c r="AA17" s="9"/>
      <c r="AB17" s="9"/>
      <c r="AC17" s="9"/>
      <c r="AD17" s="9"/>
      <c r="AE17" s="9"/>
      <c r="AF17" s="9"/>
      <c r="AG17" s="9"/>
      <c r="AH17" s="9"/>
    </row>
    <row r="18" spans="2:34" s="7" customFormat="1" ht="12.95" customHeight="1">
      <c r="C18" s="9"/>
      <c r="D18" s="9"/>
      <c r="E18" s="9"/>
      <c r="F18" s="9"/>
      <c r="G18" s="9"/>
      <c r="H18" s="9"/>
      <c r="I18" s="9"/>
      <c r="J18" s="9"/>
      <c r="K18" s="9"/>
      <c r="L18" s="9"/>
      <c r="M18" s="9"/>
      <c r="N18" s="9"/>
      <c r="O18" s="9"/>
      <c r="P18" s="9"/>
      <c r="Q18" s="9"/>
      <c r="R18" s="9"/>
      <c r="S18" s="9"/>
      <c r="T18" s="9"/>
      <c r="U18" s="9"/>
      <c r="V18" s="9"/>
      <c r="Z18" s="9"/>
      <c r="AA18" s="9"/>
      <c r="AB18" s="9"/>
      <c r="AC18" s="9"/>
      <c r="AD18" s="9"/>
    </row>
    <row r="19" spans="2:34" s="7" customFormat="1" ht="12.95" customHeight="1">
      <c r="C19" s="9"/>
      <c r="D19" s="9"/>
      <c r="E19" s="9"/>
      <c r="F19" s="9"/>
      <c r="G19" s="9"/>
      <c r="H19" s="9"/>
      <c r="I19" s="9"/>
      <c r="J19" s="9"/>
      <c r="K19" s="9"/>
      <c r="L19" s="9"/>
      <c r="M19" s="9"/>
      <c r="N19" s="9"/>
      <c r="O19" s="9"/>
      <c r="P19" s="9"/>
      <c r="Q19" s="9"/>
      <c r="R19" s="9"/>
      <c r="S19" s="9"/>
      <c r="T19" s="9"/>
      <c r="U19" s="9"/>
      <c r="V19" s="9"/>
      <c r="Z19" s="9"/>
      <c r="AA19" s="9"/>
      <c r="AB19" s="9"/>
      <c r="AC19" s="9"/>
      <c r="AD19" s="9"/>
    </row>
    <row r="20" spans="2:34" s="7" customFormat="1" ht="12.95" customHeight="1">
      <c r="C20" s="9"/>
      <c r="D20" s="9"/>
      <c r="E20" s="9"/>
      <c r="F20" s="9"/>
      <c r="G20" s="9"/>
      <c r="H20" s="9"/>
      <c r="I20" s="9"/>
      <c r="J20" s="9"/>
      <c r="K20" s="9"/>
      <c r="L20" s="9"/>
      <c r="M20" s="9"/>
      <c r="N20" s="9"/>
      <c r="O20" s="9"/>
      <c r="P20" s="9"/>
      <c r="Q20" s="9"/>
      <c r="R20" s="9"/>
      <c r="S20" s="9"/>
      <c r="T20" s="9"/>
      <c r="U20" s="9"/>
      <c r="V20" s="9"/>
      <c r="Z20" s="9"/>
      <c r="AA20" s="9"/>
      <c r="AB20" s="9"/>
      <c r="AC20" s="9"/>
      <c r="AD20" s="9"/>
    </row>
    <row r="21" spans="2:34" s="7" customFormat="1" ht="12.95" customHeight="1">
      <c r="C21" s="9"/>
      <c r="D21" s="9"/>
      <c r="E21" s="9"/>
      <c r="F21" s="9"/>
      <c r="G21" s="9"/>
      <c r="H21" s="9"/>
      <c r="I21" s="9"/>
      <c r="J21" s="9"/>
      <c r="K21" s="9"/>
      <c r="L21" s="9"/>
      <c r="M21" s="9"/>
      <c r="N21" s="9"/>
      <c r="O21" s="9"/>
      <c r="P21" s="9"/>
      <c r="Q21" s="9"/>
      <c r="R21" s="9"/>
      <c r="S21" s="9"/>
      <c r="T21" s="9"/>
      <c r="U21" s="9"/>
      <c r="V21" s="9"/>
      <c r="Z21" s="9"/>
      <c r="AA21" s="9"/>
      <c r="AB21" s="9"/>
    </row>
    <row r="22" spans="2:34" s="7" customFormat="1" ht="12.95" customHeight="1">
      <c r="C22" s="9"/>
      <c r="D22" s="9"/>
      <c r="E22" s="9"/>
      <c r="F22" s="9"/>
      <c r="G22" s="9"/>
      <c r="H22" s="9"/>
      <c r="I22" s="9"/>
      <c r="J22" s="9"/>
      <c r="K22" s="9"/>
      <c r="L22" s="9"/>
      <c r="M22" s="9"/>
      <c r="N22" s="9"/>
      <c r="O22" s="9"/>
      <c r="P22" s="9"/>
      <c r="Q22" s="9"/>
      <c r="R22" s="9"/>
      <c r="S22" s="9"/>
      <c r="T22" s="9"/>
      <c r="U22" s="9"/>
      <c r="V22" s="9"/>
      <c r="Z22" s="9"/>
      <c r="AA22" s="9"/>
      <c r="AB22" s="9"/>
    </row>
    <row r="23" spans="2:34" s="7" customFormat="1" ht="12.95" customHeight="1">
      <c r="B23" s="10" t="s">
        <v>3</v>
      </c>
      <c r="C23" s="10">
        <v>0</v>
      </c>
      <c r="D23" s="11">
        <v>3</v>
      </c>
      <c r="E23" s="11">
        <v>7</v>
      </c>
      <c r="F23" s="11">
        <v>10</v>
      </c>
      <c r="G23" s="11">
        <v>12</v>
      </c>
      <c r="H23" s="11">
        <v>10</v>
      </c>
      <c r="I23" s="11">
        <v>8</v>
      </c>
      <c r="J23" s="11">
        <v>11</v>
      </c>
      <c r="K23" s="11">
        <v>9</v>
      </c>
      <c r="L23" s="11">
        <v>9</v>
      </c>
      <c r="M23" s="11">
        <v>9</v>
      </c>
      <c r="N23" s="11">
        <v>7</v>
      </c>
      <c r="O23" s="11">
        <v>4</v>
      </c>
      <c r="P23" s="11">
        <v>0</v>
      </c>
      <c r="Q23" s="11">
        <v>0</v>
      </c>
      <c r="R23" s="11">
        <v>0</v>
      </c>
      <c r="S23" s="11">
        <v>0</v>
      </c>
      <c r="T23" s="11">
        <v>0</v>
      </c>
      <c r="U23" s="11">
        <v>0</v>
      </c>
      <c r="V23" s="11">
        <v>0</v>
      </c>
      <c r="W23" s="11">
        <v>0</v>
      </c>
      <c r="X23" s="11">
        <v>0</v>
      </c>
      <c r="Y23" s="11">
        <v>0</v>
      </c>
      <c r="Z23" s="11">
        <v>0</v>
      </c>
      <c r="AA23" s="11">
        <v>0</v>
      </c>
      <c r="AB23" s="11">
        <v>0</v>
      </c>
      <c r="AC23" s="11">
        <v>0</v>
      </c>
      <c r="AD23" s="11">
        <v>0</v>
      </c>
      <c r="AE23" s="11">
        <v>0</v>
      </c>
      <c r="AF23" s="11">
        <v>0</v>
      </c>
    </row>
    <row r="24" spans="2:34" s="7" customFormat="1" ht="12.95" customHeight="1">
      <c r="B24" s="10" t="s">
        <v>4</v>
      </c>
      <c r="C24" s="10">
        <v>0</v>
      </c>
      <c r="D24" s="11">
        <v>3</v>
      </c>
      <c r="E24" s="11">
        <v>7</v>
      </c>
      <c r="F24" s="11">
        <v>9</v>
      </c>
      <c r="G24" s="11">
        <v>13</v>
      </c>
      <c r="H24" s="11">
        <v>10</v>
      </c>
      <c r="I24" s="11">
        <v>8</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row>
    <row r="25" spans="2:34" s="7" customFormat="1" ht="12.95" customHeight="1">
      <c r="B25" s="10" t="s">
        <v>5</v>
      </c>
      <c r="C25" s="10">
        <f>C24-C23</f>
        <v>0</v>
      </c>
      <c r="D25" s="10">
        <f>D24-D23</f>
        <v>0</v>
      </c>
      <c r="E25" s="10">
        <f t="shared" ref="E25:V25" si="1">E24-E23</f>
        <v>0</v>
      </c>
      <c r="F25" s="10">
        <f t="shared" si="1"/>
        <v>-1</v>
      </c>
      <c r="G25" s="10">
        <f t="shared" si="1"/>
        <v>1</v>
      </c>
      <c r="H25" s="10">
        <f t="shared" si="1"/>
        <v>0</v>
      </c>
      <c r="I25" s="10">
        <f t="shared" si="1"/>
        <v>0</v>
      </c>
      <c r="J25" s="10">
        <f t="shared" si="1"/>
        <v>-11</v>
      </c>
      <c r="K25" s="10">
        <f t="shared" si="1"/>
        <v>-9</v>
      </c>
      <c r="L25" s="10">
        <f t="shared" si="1"/>
        <v>-9</v>
      </c>
      <c r="M25" s="10">
        <f t="shared" si="1"/>
        <v>-9</v>
      </c>
      <c r="N25" s="10">
        <f t="shared" si="1"/>
        <v>-7</v>
      </c>
      <c r="O25" s="10">
        <f t="shared" si="1"/>
        <v>-4</v>
      </c>
      <c r="P25" s="10">
        <f t="shared" si="1"/>
        <v>0</v>
      </c>
      <c r="Q25" s="10">
        <f t="shared" si="1"/>
        <v>0</v>
      </c>
      <c r="R25" s="10">
        <f t="shared" si="1"/>
        <v>0</v>
      </c>
      <c r="S25" s="10">
        <f t="shared" si="1"/>
        <v>0</v>
      </c>
      <c r="T25" s="10">
        <f t="shared" si="1"/>
        <v>0</v>
      </c>
      <c r="U25" s="10">
        <f t="shared" si="1"/>
        <v>0</v>
      </c>
      <c r="V25" s="10">
        <f t="shared" si="1"/>
        <v>0</v>
      </c>
      <c r="W25" s="10">
        <f t="shared" ref="W25:AF25" si="2">W24-W23</f>
        <v>0</v>
      </c>
      <c r="X25" s="10">
        <f t="shared" si="2"/>
        <v>0</v>
      </c>
      <c r="Y25" s="10">
        <f t="shared" si="2"/>
        <v>0</v>
      </c>
      <c r="Z25" s="10">
        <f t="shared" si="2"/>
        <v>0</v>
      </c>
      <c r="AA25" s="10">
        <f t="shared" si="2"/>
        <v>0</v>
      </c>
      <c r="AB25" s="10">
        <f t="shared" si="2"/>
        <v>0</v>
      </c>
      <c r="AC25" s="10">
        <f t="shared" si="2"/>
        <v>0</v>
      </c>
      <c r="AD25" s="10">
        <f t="shared" si="2"/>
        <v>0</v>
      </c>
      <c r="AE25" s="10">
        <f t="shared" si="2"/>
        <v>0</v>
      </c>
      <c r="AF25" s="10">
        <f t="shared" si="2"/>
        <v>0</v>
      </c>
    </row>
    <row r="26" spans="2:34" s="7" customFormat="1" ht="12.95" customHeight="1">
      <c r="B26" s="12" t="s">
        <v>6</v>
      </c>
      <c r="C26" s="12">
        <f>C23</f>
        <v>0</v>
      </c>
      <c r="D26" s="12">
        <f>C26+D23</f>
        <v>3</v>
      </c>
      <c r="E26" s="12">
        <f>D26+E23</f>
        <v>10</v>
      </c>
      <c r="F26" s="12">
        <f t="shared" ref="F26:V27" si="3">E26+F23</f>
        <v>20</v>
      </c>
      <c r="G26" s="12">
        <f t="shared" si="3"/>
        <v>32</v>
      </c>
      <c r="H26" s="12">
        <f t="shared" si="3"/>
        <v>42</v>
      </c>
      <c r="I26" s="12">
        <f t="shared" si="3"/>
        <v>50</v>
      </c>
      <c r="J26" s="12">
        <f>I26+J23</f>
        <v>61</v>
      </c>
      <c r="K26" s="12">
        <f t="shared" si="3"/>
        <v>70</v>
      </c>
      <c r="L26" s="12">
        <f t="shared" si="3"/>
        <v>79</v>
      </c>
      <c r="M26" s="12">
        <f t="shared" si="3"/>
        <v>88</v>
      </c>
      <c r="N26" s="12">
        <f t="shared" si="3"/>
        <v>95</v>
      </c>
      <c r="O26" s="12">
        <f t="shared" si="3"/>
        <v>99</v>
      </c>
      <c r="P26" s="12">
        <f t="shared" si="3"/>
        <v>99</v>
      </c>
      <c r="Q26" s="12">
        <f t="shared" si="3"/>
        <v>99</v>
      </c>
      <c r="R26" s="12">
        <f t="shared" si="3"/>
        <v>99</v>
      </c>
      <c r="S26" s="12">
        <f t="shared" si="3"/>
        <v>99</v>
      </c>
      <c r="T26" s="12">
        <f t="shared" si="3"/>
        <v>99</v>
      </c>
      <c r="U26" s="12">
        <f t="shared" si="3"/>
        <v>99</v>
      </c>
      <c r="V26" s="12">
        <f t="shared" si="3"/>
        <v>99</v>
      </c>
      <c r="W26" s="12">
        <f t="shared" ref="W26:AB26" si="4">V26+W23</f>
        <v>99</v>
      </c>
      <c r="X26" s="12">
        <f t="shared" si="4"/>
        <v>99</v>
      </c>
      <c r="Y26" s="12">
        <f t="shared" si="4"/>
        <v>99</v>
      </c>
      <c r="Z26" s="12">
        <f t="shared" si="4"/>
        <v>99</v>
      </c>
      <c r="AA26" s="12">
        <f t="shared" si="4"/>
        <v>99</v>
      </c>
      <c r="AB26" s="12">
        <f t="shared" si="4"/>
        <v>99</v>
      </c>
      <c r="AC26" s="12">
        <f t="shared" ref="AC26:AF27" si="5">AB26+AC23</f>
        <v>99</v>
      </c>
      <c r="AD26" s="12">
        <f t="shared" si="5"/>
        <v>99</v>
      </c>
      <c r="AE26" s="12">
        <f t="shared" si="5"/>
        <v>99</v>
      </c>
      <c r="AF26" s="12">
        <f t="shared" si="5"/>
        <v>99</v>
      </c>
    </row>
    <row r="27" spans="2:34" s="7" customFormat="1" ht="12.95" customHeight="1">
      <c r="B27" s="12" t="s">
        <v>7</v>
      </c>
      <c r="C27" s="12">
        <f>C24</f>
        <v>0</v>
      </c>
      <c r="D27" s="12">
        <f>C27+D24</f>
        <v>3</v>
      </c>
      <c r="E27" s="12">
        <f>D27+E24</f>
        <v>10</v>
      </c>
      <c r="F27" s="12">
        <f t="shared" si="3"/>
        <v>19</v>
      </c>
      <c r="G27" s="12">
        <f t="shared" si="3"/>
        <v>32</v>
      </c>
      <c r="H27" s="12">
        <f t="shared" si="3"/>
        <v>42</v>
      </c>
      <c r="I27" s="12">
        <f t="shared" si="3"/>
        <v>50</v>
      </c>
      <c r="J27" s="12">
        <f>I27+J24</f>
        <v>50</v>
      </c>
      <c r="K27" s="12">
        <f t="shared" si="3"/>
        <v>50</v>
      </c>
      <c r="L27" s="12">
        <f t="shared" si="3"/>
        <v>50</v>
      </c>
      <c r="M27" s="12">
        <f t="shared" si="3"/>
        <v>50</v>
      </c>
      <c r="N27" s="12">
        <f t="shared" si="3"/>
        <v>50</v>
      </c>
      <c r="O27" s="12">
        <f t="shared" si="3"/>
        <v>50</v>
      </c>
      <c r="P27" s="12">
        <f t="shared" si="3"/>
        <v>50</v>
      </c>
      <c r="Q27" s="12">
        <f t="shared" si="3"/>
        <v>50</v>
      </c>
      <c r="R27" s="12">
        <f t="shared" si="3"/>
        <v>50</v>
      </c>
      <c r="S27" s="12">
        <f t="shared" si="3"/>
        <v>50</v>
      </c>
      <c r="T27" s="12">
        <f t="shared" si="3"/>
        <v>50</v>
      </c>
      <c r="U27" s="12">
        <f t="shared" si="3"/>
        <v>50</v>
      </c>
      <c r="V27" s="12">
        <f t="shared" si="3"/>
        <v>50</v>
      </c>
      <c r="W27" s="12">
        <f t="shared" ref="W27:AB27" si="6">V27+W24</f>
        <v>50</v>
      </c>
      <c r="X27" s="12">
        <f t="shared" si="6"/>
        <v>50</v>
      </c>
      <c r="Y27" s="12">
        <f t="shared" si="6"/>
        <v>50</v>
      </c>
      <c r="Z27" s="12">
        <f t="shared" si="6"/>
        <v>50</v>
      </c>
      <c r="AA27" s="12">
        <f t="shared" si="6"/>
        <v>50</v>
      </c>
      <c r="AB27" s="12">
        <f t="shared" si="6"/>
        <v>50</v>
      </c>
      <c r="AC27" s="12">
        <f t="shared" si="5"/>
        <v>50</v>
      </c>
      <c r="AD27" s="12">
        <f t="shared" si="5"/>
        <v>50</v>
      </c>
      <c r="AE27" s="12">
        <f t="shared" si="5"/>
        <v>50</v>
      </c>
      <c r="AF27" s="12">
        <f t="shared" si="5"/>
        <v>50</v>
      </c>
    </row>
    <row r="28" spans="2:34" s="7" customFormat="1" ht="12.95" customHeight="1">
      <c r="B28" s="11" t="s">
        <v>8</v>
      </c>
      <c r="C28" s="11">
        <f>C27-C26</f>
        <v>0</v>
      </c>
      <c r="D28" s="11">
        <f>D27-D26</f>
        <v>0</v>
      </c>
      <c r="E28" s="11">
        <f>E27-E26</f>
        <v>0</v>
      </c>
      <c r="F28" s="11">
        <f t="shared" ref="F28:V28" si="7">F27-F26</f>
        <v>-1</v>
      </c>
      <c r="G28" s="11">
        <f t="shared" si="7"/>
        <v>0</v>
      </c>
      <c r="H28" s="11">
        <f t="shared" si="7"/>
        <v>0</v>
      </c>
      <c r="I28" s="11">
        <f t="shared" si="7"/>
        <v>0</v>
      </c>
      <c r="J28" s="11">
        <f t="shared" si="7"/>
        <v>-11</v>
      </c>
      <c r="K28" s="11">
        <f t="shared" si="7"/>
        <v>-20</v>
      </c>
      <c r="L28" s="11">
        <f t="shared" si="7"/>
        <v>-29</v>
      </c>
      <c r="M28" s="11">
        <f t="shared" si="7"/>
        <v>-38</v>
      </c>
      <c r="N28" s="11">
        <f t="shared" si="7"/>
        <v>-45</v>
      </c>
      <c r="O28" s="11">
        <f t="shared" si="7"/>
        <v>-49</v>
      </c>
      <c r="P28" s="11">
        <f t="shared" si="7"/>
        <v>-49</v>
      </c>
      <c r="Q28" s="11">
        <f t="shared" si="7"/>
        <v>-49</v>
      </c>
      <c r="R28" s="11">
        <f t="shared" si="7"/>
        <v>-49</v>
      </c>
      <c r="S28" s="11">
        <f t="shared" si="7"/>
        <v>-49</v>
      </c>
      <c r="T28" s="11">
        <f t="shared" si="7"/>
        <v>-49</v>
      </c>
      <c r="U28" s="11">
        <f t="shared" si="7"/>
        <v>-49</v>
      </c>
      <c r="V28" s="11">
        <f t="shared" si="7"/>
        <v>-49</v>
      </c>
      <c r="W28" s="11">
        <f t="shared" ref="W28:AF28" si="8">W27-W26</f>
        <v>-49</v>
      </c>
      <c r="X28" s="11">
        <f t="shared" si="8"/>
        <v>-49</v>
      </c>
      <c r="Y28" s="11">
        <f t="shared" si="8"/>
        <v>-49</v>
      </c>
      <c r="Z28" s="11">
        <f t="shared" si="8"/>
        <v>-49</v>
      </c>
      <c r="AA28" s="11">
        <f t="shared" si="8"/>
        <v>-49</v>
      </c>
      <c r="AB28" s="11">
        <f t="shared" si="8"/>
        <v>-49</v>
      </c>
      <c r="AC28" s="11">
        <f t="shared" si="8"/>
        <v>-49</v>
      </c>
      <c r="AD28" s="11">
        <f t="shared" si="8"/>
        <v>-49</v>
      </c>
      <c r="AE28" s="11">
        <f t="shared" si="8"/>
        <v>-49</v>
      </c>
      <c r="AF28" s="11">
        <f t="shared" si="8"/>
        <v>-49</v>
      </c>
    </row>
    <row r="29" spans="2:34" s="7" customFormat="1" ht="14.25" customHeight="1"/>
    <row r="30" spans="2:34" s="7" customFormat="1" ht="12.95" customHeight="1">
      <c r="C30" s="8">
        <f>C15</f>
        <v>45524</v>
      </c>
      <c r="D30" s="8">
        <f>C30+7</f>
        <v>45531</v>
      </c>
      <c r="E30" s="8">
        <f t="shared" ref="E30:AF30" si="9">D30+7</f>
        <v>45538</v>
      </c>
      <c r="F30" s="8">
        <f t="shared" si="9"/>
        <v>45545</v>
      </c>
      <c r="G30" s="8">
        <f t="shared" si="9"/>
        <v>45552</v>
      </c>
      <c r="H30" s="8">
        <f t="shared" si="9"/>
        <v>45559</v>
      </c>
      <c r="I30" s="8">
        <f t="shared" si="9"/>
        <v>45566</v>
      </c>
      <c r="J30" s="8">
        <f t="shared" si="9"/>
        <v>45573</v>
      </c>
      <c r="K30" s="8">
        <f t="shared" si="9"/>
        <v>45580</v>
      </c>
      <c r="L30" s="8">
        <f t="shared" si="9"/>
        <v>45587</v>
      </c>
      <c r="M30" s="8">
        <f t="shared" si="9"/>
        <v>45594</v>
      </c>
      <c r="N30" s="8">
        <f t="shared" si="9"/>
        <v>45601</v>
      </c>
      <c r="O30" s="8">
        <f t="shared" si="9"/>
        <v>45608</v>
      </c>
      <c r="P30" s="8">
        <f t="shared" si="9"/>
        <v>45615</v>
      </c>
      <c r="Q30" s="8">
        <f t="shared" si="9"/>
        <v>45622</v>
      </c>
      <c r="R30" s="8">
        <f t="shared" si="9"/>
        <v>45629</v>
      </c>
      <c r="S30" s="8">
        <f t="shared" si="9"/>
        <v>45636</v>
      </c>
      <c r="T30" s="8">
        <f t="shared" si="9"/>
        <v>45643</v>
      </c>
      <c r="U30" s="8">
        <f t="shared" si="9"/>
        <v>45650</v>
      </c>
      <c r="V30" s="8">
        <f t="shared" si="9"/>
        <v>45657</v>
      </c>
      <c r="W30" s="8">
        <f t="shared" si="9"/>
        <v>45664</v>
      </c>
      <c r="X30" s="8">
        <f t="shared" si="9"/>
        <v>45671</v>
      </c>
      <c r="Y30" s="8">
        <f t="shared" si="9"/>
        <v>45678</v>
      </c>
      <c r="Z30" s="8">
        <f t="shared" si="9"/>
        <v>45685</v>
      </c>
      <c r="AA30" s="8">
        <f t="shared" si="9"/>
        <v>45692</v>
      </c>
      <c r="AB30" s="8">
        <f t="shared" si="9"/>
        <v>45699</v>
      </c>
      <c r="AC30" s="8">
        <f t="shared" si="9"/>
        <v>45706</v>
      </c>
      <c r="AD30" s="8">
        <f t="shared" si="9"/>
        <v>45713</v>
      </c>
      <c r="AE30" s="8">
        <f t="shared" si="9"/>
        <v>45720</v>
      </c>
      <c r="AF30" s="8">
        <f t="shared" si="9"/>
        <v>45727</v>
      </c>
    </row>
    <row r="31" spans="2:34" s="7" customFormat="1" ht="12.95" customHeight="1">
      <c r="C31" s="9"/>
      <c r="D31" s="9"/>
      <c r="E31" s="9"/>
      <c r="F31" s="9"/>
      <c r="G31" s="9"/>
      <c r="H31" s="9"/>
      <c r="I31" s="9"/>
      <c r="J31" s="9"/>
      <c r="K31" s="9"/>
      <c r="L31" s="9"/>
      <c r="M31" s="9"/>
      <c r="N31" s="9"/>
      <c r="O31" s="9"/>
      <c r="P31" s="9"/>
      <c r="Q31" s="9"/>
      <c r="R31" s="9"/>
      <c r="S31" s="9"/>
      <c r="T31" s="9"/>
      <c r="U31" s="9"/>
      <c r="V31" s="9"/>
      <c r="Z31" s="9"/>
      <c r="AA31" s="9"/>
      <c r="AB31" s="9"/>
      <c r="AC31" s="9"/>
      <c r="AD31" s="9"/>
      <c r="AE31" s="9"/>
      <c r="AF31" s="9"/>
      <c r="AG31" s="9"/>
      <c r="AH31" s="9"/>
    </row>
    <row r="32" spans="2:34" s="7" customFormat="1" ht="12.95" customHeight="1">
      <c r="C32" s="9"/>
      <c r="D32" s="9"/>
      <c r="E32" s="9"/>
      <c r="F32" s="9"/>
      <c r="G32" s="9"/>
      <c r="H32" s="9"/>
      <c r="I32" s="9"/>
      <c r="J32" s="9"/>
      <c r="K32" s="9"/>
      <c r="L32" s="9"/>
      <c r="M32" s="9"/>
      <c r="N32" s="9"/>
      <c r="O32" s="9"/>
      <c r="P32" s="9"/>
      <c r="Q32" s="9"/>
      <c r="R32" s="9"/>
      <c r="S32" s="9"/>
      <c r="T32" s="9"/>
      <c r="U32" s="9"/>
      <c r="V32" s="9"/>
      <c r="Z32" s="9"/>
      <c r="AA32" s="9"/>
      <c r="AB32" s="9"/>
      <c r="AC32" s="9"/>
      <c r="AD32" s="9"/>
      <c r="AE32" s="9"/>
      <c r="AF32" s="9"/>
      <c r="AG32" s="9"/>
      <c r="AH32" s="9"/>
    </row>
    <row r="33" spans="2:32" s="7" customFormat="1" ht="12.95" customHeight="1">
      <c r="C33" s="9"/>
      <c r="D33" s="9"/>
      <c r="E33" s="9"/>
      <c r="F33" s="9"/>
      <c r="G33" s="9"/>
      <c r="H33" s="9"/>
      <c r="I33" s="9"/>
      <c r="J33" s="9"/>
      <c r="K33" s="9"/>
      <c r="L33" s="9"/>
      <c r="M33" s="9"/>
      <c r="N33" s="9"/>
      <c r="O33" s="9"/>
      <c r="P33" s="9"/>
      <c r="Q33" s="9"/>
      <c r="R33" s="9"/>
      <c r="S33" s="9"/>
      <c r="T33" s="9"/>
      <c r="U33" s="9"/>
      <c r="V33" s="9"/>
      <c r="Z33" s="9"/>
      <c r="AA33" s="9"/>
      <c r="AB33" s="9"/>
      <c r="AC33" s="9"/>
      <c r="AD33" s="9"/>
    </row>
    <row r="34" spans="2:32" s="7" customFormat="1" ht="12.95" customHeight="1">
      <c r="C34" s="9"/>
      <c r="D34" s="9"/>
      <c r="E34" s="9"/>
      <c r="F34" s="9"/>
      <c r="G34" s="9"/>
      <c r="H34" s="9"/>
      <c r="I34" s="9"/>
      <c r="J34" s="9"/>
      <c r="K34" s="9"/>
      <c r="L34" s="9"/>
      <c r="M34" s="9"/>
      <c r="N34" s="9"/>
      <c r="O34" s="9"/>
      <c r="P34" s="9"/>
      <c r="Q34" s="9"/>
      <c r="R34" s="9"/>
      <c r="S34" s="9"/>
      <c r="T34" s="9"/>
      <c r="U34" s="9"/>
      <c r="V34" s="9"/>
      <c r="Z34" s="9"/>
      <c r="AA34" s="9"/>
      <c r="AB34" s="9"/>
      <c r="AC34" s="9"/>
      <c r="AD34" s="9"/>
    </row>
    <row r="35" spans="2:32" s="7" customFormat="1" ht="12.95" customHeight="1">
      <c r="C35" s="9"/>
      <c r="D35" s="9"/>
      <c r="E35" s="9"/>
      <c r="F35" s="9"/>
      <c r="G35" s="9"/>
      <c r="H35" s="9"/>
      <c r="I35" s="9"/>
      <c r="J35" s="9"/>
      <c r="K35" s="9"/>
      <c r="L35" s="9"/>
      <c r="M35" s="9"/>
      <c r="N35" s="9"/>
      <c r="O35" s="9"/>
      <c r="P35" s="9"/>
      <c r="Q35" s="9"/>
      <c r="R35" s="9"/>
      <c r="S35" s="9"/>
      <c r="T35" s="9"/>
      <c r="U35" s="9"/>
      <c r="V35" s="9"/>
      <c r="Z35" s="9"/>
      <c r="AA35" s="9"/>
      <c r="AB35" s="9"/>
      <c r="AC35" s="9"/>
      <c r="AD35" s="9"/>
    </row>
    <row r="36" spans="2:32" s="7" customFormat="1" ht="12.95" customHeight="1">
      <c r="C36" s="9"/>
      <c r="D36" s="9"/>
      <c r="E36" s="9"/>
      <c r="F36" s="9"/>
      <c r="G36" s="9"/>
      <c r="H36" s="9"/>
      <c r="I36" s="9"/>
      <c r="J36" s="9"/>
      <c r="K36" s="9"/>
      <c r="L36" s="9"/>
      <c r="M36" s="9"/>
      <c r="N36" s="9"/>
      <c r="O36" s="9"/>
      <c r="P36" s="9"/>
      <c r="Q36" s="9"/>
      <c r="R36" s="9"/>
      <c r="S36" s="9"/>
      <c r="T36" s="9"/>
      <c r="U36" s="9"/>
      <c r="V36" s="9"/>
      <c r="Z36" s="9"/>
      <c r="AA36" s="9"/>
      <c r="AB36" s="9"/>
    </row>
    <row r="37" spans="2:32" s="7" customFormat="1" ht="12.95" customHeight="1">
      <c r="C37" s="9"/>
      <c r="D37" s="9"/>
      <c r="E37" s="9"/>
      <c r="F37" s="9"/>
      <c r="G37" s="9"/>
      <c r="H37" s="9"/>
      <c r="I37" s="9"/>
      <c r="J37" s="9"/>
      <c r="K37" s="9"/>
      <c r="L37" s="9"/>
      <c r="M37" s="9"/>
      <c r="N37" s="9"/>
      <c r="O37" s="9"/>
      <c r="P37" s="9"/>
      <c r="Q37" s="9"/>
      <c r="R37" s="9"/>
      <c r="S37" s="9"/>
      <c r="T37" s="9"/>
      <c r="U37" s="9"/>
      <c r="V37" s="9"/>
      <c r="Z37" s="9"/>
      <c r="AA37" s="9"/>
      <c r="AB37" s="9"/>
    </row>
    <row r="38" spans="2:32" s="7" customFormat="1" ht="12.95" customHeight="1">
      <c r="B38" s="10" t="s">
        <v>9</v>
      </c>
      <c r="C38" s="10">
        <v>0</v>
      </c>
      <c r="D38" s="11">
        <v>0</v>
      </c>
      <c r="E38" s="11">
        <v>0</v>
      </c>
      <c r="F38" s="11">
        <v>0</v>
      </c>
      <c r="G38" s="11">
        <v>27</v>
      </c>
      <c r="H38" s="11">
        <v>210</v>
      </c>
      <c r="I38" s="11">
        <v>120</v>
      </c>
      <c r="J38" s="11">
        <v>92</v>
      </c>
      <c r="K38" s="11">
        <v>89</v>
      </c>
      <c r="L38" s="11">
        <v>101</v>
      </c>
      <c r="M38" s="11">
        <v>133</v>
      </c>
      <c r="N38" s="11">
        <v>34</v>
      </c>
      <c r="O38" s="11">
        <v>0</v>
      </c>
      <c r="P38" s="11">
        <v>0</v>
      </c>
      <c r="Q38" s="11">
        <v>0</v>
      </c>
      <c r="R38" s="11">
        <v>0</v>
      </c>
      <c r="S38" s="11">
        <v>0</v>
      </c>
      <c r="T38" s="11">
        <v>0</v>
      </c>
      <c r="U38" s="11"/>
      <c r="V38" s="11"/>
      <c r="W38" s="11"/>
      <c r="X38" s="11"/>
      <c r="Y38" s="11"/>
      <c r="Z38" s="11"/>
      <c r="AA38" s="11"/>
      <c r="AB38" s="11"/>
      <c r="AC38" s="11"/>
      <c r="AD38" s="11"/>
      <c r="AE38" s="11"/>
      <c r="AF38" s="11"/>
    </row>
    <row r="39" spans="2:32" s="7" customFormat="1" ht="12.95" customHeight="1">
      <c r="B39" s="10" t="s">
        <v>10</v>
      </c>
      <c r="C39" s="10">
        <v>0</v>
      </c>
      <c r="D39" s="11">
        <v>0</v>
      </c>
      <c r="E39" s="11">
        <v>0</v>
      </c>
      <c r="F39" s="11">
        <v>0</v>
      </c>
      <c r="G39" s="11">
        <v>27</v>
      </c>
      <c r="H39" s="11">
        <v>210</v>
      </c>
      <c r="I39" s="11">
        <v>120</v>
      </c>
      <c r="J39" s="11">
        <v>0</v>
      </c>
      <c r="K39" s="11">
        <v>0</v>
      </c>
      <c r="L39" s="11">
        <v>0</v>
      </c>
      <c r="M39" s="11">
        <v>0</v>
      </c>
      <c r="N39" s="11">
        <v>0</v>
      </c>
      <c r="O39" s="11">
        <v>0</v>
      </c>
      <c r="P39" s="11">
        <v>0</v>
      </c>
      <c r="Q39" s="11">
        <v>0</v>
      </c>
      <c r="R39" s="11">
        <v>0</v>
      </c>
      <c r="S39" s="11">
        <v>0</v>
      </c>
      <c r="T39" s="11">
        <v>0</v>
      </c>
      <c r="U39" s="11"/>
      <c r="V39" s="11"/>
      <c r="W39" s="11"/>
      <c r="X39" s="11"/>
      <c r="Y39" s="11"/>
      <c r="Z39" s="11"/>
      <c r="AA39" s="11"/>
      <c r="AB39" s="11"/>
      <c r="AC39" s="11"/>
      <c r="AD39" s="11"/>
      <c r="AE39" s="11"/>
      <c r="AF39" s="11"/>
    </row>
    <row r="40" spans="2:32" s="7" customFormat="1" ht="12.95" customHeight="1">
      <c r="B40" s="10" t="s">
        <v>11</v>
      </c>
      <c r="C40" s="10">
        <f>C38</f>
        <v>0</v>
      </c>
      <c r="D40" s="11">
        <f>C40+D38</f>
        <v>0</v>
      </c>
      <c r="E40" s="11">
        <f t="shared" ref="E40:V40" si="10">D40+E38</f>
        <v>0</v>
      </c>
      <c r="F40" s="11">
        <f t="shared" si="10"/>
        <v>0</v>
      </c>
      <c r="G40" s="11">
        <f t="shared" si="10"/>
        <v>27</v>
      </c>
      <c r="H40" s="11">
        <f t="shared" si="10"/>
        <v>237</v>
      </c>
      <c r="I40" s="11">
        <f t="shared" si="10"/>
        <v>357</v>
      </c>
      <c r="J40" s="11">
        <f t="shared" si="10"/>
        <v>449</v>
      </c>
      <c r="K40" s="11">
        <f t="shared" si="10"/>
        <v>538</v>
      </c>
      <c r="L40" s="11">
        <f t="shared" si="10"/>
        <v>639</v>
      </c>
      <c r="M40" s="11">
        <f t="shared" si="10"/>
        <v>772</v>
      </c>
      <c r="N40" s="11">
        <f t="shared" si="10"/>
        <v>806</v>
      </c>
      <c r="O40" s="11">
        <f t="shared" si="10"/>
        <v>806</v>
      </c>
      <c r="P40" s="11">
        <f t="shared" si="10"/>
        <v>806</v>
      </c>
      <c r="Q40" s="11">
        <f t="shared" si="10"/>
        <v>806</v>
      </c>
      <c r="R40" s="11">
        <f t="shared" si="10"/>
        <v>806</v>
      </c>
      <c r="S40" s="11">
        <f t="shared" si="10"/>
        <v>806</v>
      </c>
      <c r="T40" s="11">
        <f t="shared" si="10"/>
        <v>806</v>
      </c>
      <c r="U40" s="11">
        <f t="shared" si="10"/>
        <v>806</v>
      </c>
      <c r="V40" s="11">
        <f t="shared" si="10"/>
        <v>806</v>
      </c>
      <c r="W40" s="11">
        <f t="shared" ref="W40:AF40" si="11">V40+W38</f>
        <v>806</v>
      </c>
      <c r="X40" s="11">
        <f t="shared" si="11"/>
        <v>806</v>
      </c>
      <c r="Y40" s="11">
        <f t="shared" si="11"/>
        <v>806</v>
      </c>
      <c r="Z40" s="11">
        <f t="shared" si="11"/>
        <v>806</v>
      </c>
      <c r="AA40" s="11">
        <f t="shared" si="11"/>
        <v>806</v>
      </c>
      <c r="AB40" s="11">
        <f t="shared" si="11"/>
        <v>806</v>
      </c>
      <c r="AC40" s="11">
        <f t="shared" si="11"/>
        <v>806</v>
      </c>
      <c r="AD40" s="11">
        <f t="shared" si="11"/>
        <v>806</v>
      </c>
      <c r="AE40" s="11">
        <f t="shared" si="11"/>
        <v>806</v>
      </c>
      <c r="AF40" s="11">
        <f t="shared" si="11"/>
        <v>806</v>
      </c>
    </row>
    <row r="41" spans="2:32" s="7" customFormat="1" ht="12.95" customHeight="1">
      <c r="B41" s="10" t="s">
        <v>12</v>
      </c>
      <c r="C41" s="10">
        <f>C39</f>
        <v>0</v>
      </c>
      <c r="D41" s="11">
        <f>C41+D39</f>
        <v>0</v>
      </c>
      <c r="E41" s="11">
        <f t="shared" ref="E41:AF41" si="12">D41+E39</f>
        <v>0</v>
      </c>
      <c r="F41" s="11">
        <f t="shared" si="12"/>
        <v>0</v>
      </c>
      <c r="G41" s="11">
        <f t="shared" si="12"/>
        <v>27</v>
      </c>
      <c r="H41" s="11">
        <f t="shared" si="12"/>
        <v>237</v>
      </c>
      <c r="I41" s="11">
        <f t="shared" si="12"/>
        <v>357</v>
      </c>
      <c r="J41" s="11">
        <f t="shared" si="12"/>
        <v>357</v>
      </c>
      <c r="K41" s="11">
        <f t="shared" si="12"/>
        <v>357</v>
      </c>
      <c r="L41" s="11">
        <f t="shared" si="12"/>
        <v>357</v>
      </c>
      <c r="M41" s="11">
        <f t="shared" si="12"/>
        <v>357</v>
      </c>
      <c r="N41" s="11">
        <f t="shared" si="12"/>
        <v>357</v>
      </c>
      <c r="O41" s="11">
        <f t="shared" si="12"/>
        <v>357</v>
      </c>
      <c r="P41" s="11">
        <f t="shared" si="12"/>
        <v>357</v>
      </c>
      <c r="Q41" s="11">
        <f t="shared" si="12"/>
        <v>357</v>
      </c>
      <c r="R41" s="11">
        <f t="shared" si="12"/>
        <v>357</v>
      </c>
      <c r="S41" s="11">
        <f t="shared" si="12"/>
        <v>357</v>
      </c>
      <c r="T41" s="11">
        <f t="shared" si="12"/>
        <v>357</v>
      </c>
      <c r="U41" s="11">
        <f t="shared" si="12"/>
        <v>357</v>
      </c>
      <c r="V41" s="11">
        <f t="shared" si="12"/>
        <v>357</v>
      </c>
      <c r="W41" s="11">
        <f t="shared" si="12"/>
        <v>357</v>
      </c>
      <c r="X41" s="11">
        <f t="shared" si="12"/>
        <v>357</v>
      </c>
      <c r="Y41" s="11">
        <f t="shared" si="12"/>
        <v>357</v>
      </c>
      <c r="Z41" s="11">
        <f t="shared" si="12"/>
        <v>357</v>
      </c>
      <c r="AA41" s="11">
        <f t="shared" si="12"/>
        <v>357</v>
      </c>
      <c r="AB41" s="11">
        <f t="shared" si="12"/>
        <v>357</v>
      </c>
      <c r="AC41" s="11">
        <f t="shared" si="12"/>
        <v>357</v>
      </c>
      <c r="AD41" s="11">
        <f t="shared" si="12"/>
        <v>357</v>
      </c>
      <c r="AE41" s="11">
        <f t="shared" si="12"/>
        <v>357</v>
      </c>
      <c r="AF41" s="11">
        <f t="shared" si="12"/>
        <v>357</v>
      </c>
    </row>
    <row r="42" spans="2:32" s="7" customFormat="1" ht="12.95" customHeight="1">
      <c r="B42" s="13" t="s">
        <v>13</v>
      </c>
      <c r="C42" s="13">
        <f>$K$52 - C40</f>
        <v>779</v>
      </c>
      <c r="D42" s="13">
        <f t="shared" ref="D42:AF42" si="13">$K$52 - D40</f>
        <v>779</v>
      </c>
      <c r="E42" s="13">
        <f t="shared" si="13"/>
        <v>779</v>
      </c>
      <c r="F42" s="13">
        <f t="shared" si="13"/>
        <v>779</v>
      </c>
      <c r="G42" s="13">
        <f t="shared" si="13"/>
        <v>752</v>
      </c>
      <c r="H42" s="13">
        <f t="shared" si="13"/>
        <v>542</v>
      </c>
      <c r="I42" s="13">
        <f t="shared" si="13"/>
        <v>422</v>
      </c>
      <c r="J42" s="13">
        <f t="shared" si="13"/>
        <v>330</v>
      </c>
      <c r="K42" s="13">
        <f t="shared" si="13"/>
        <v>241</v>
      </c>
      <c r="L42" s="13">
        <f t="shared" si="13"/>
        <v>140</v>
      </c>
      <c r="M42" s="13">
        <f t="shared" si="13"/>
        <v>7</v>
      </c>
      <c r="N42" s="13">
        <f t="shared" si="13"/>
        <v>-27</v>
      </c>
      <c r="O42" s="13">
        <f t="shared" si="13"/>
        <v>-27</v>
      </c>
      <c r="P42" s="13">
        <f t="shared" si="13"/>
        <v>-27</v>
      </c>
      <c r="Q42" s="13">
        <f t="shared" si="13"/>
        <v>-27</v>
      </c>
      <c r="R42" s="13">
        <f t="shared" si="13"/>
        <v>-27</v>
      </c>
      <c r="S42" s="13">
        <f t="shared" si="13"/>
        <v>-27</v>
      </c>
      <c r="T42" s="13">
        <f t="shared" si="13"/>
        <v>-27</v>
      </c>
      <c r="U42" s="13">
        <f t="shared" si="13"/>
        <v>-27</v>
      </c>
      <c r="V42" s="13">
        <f t="shared" si="13"/>
        <v>-27</v>
      </c>
      <c r="W42" s="13">
        <f t="shared" si="13"/>
        <v>-27</v>
      </c>
      <c r="X42" s="13">
        <f t="shared" si="13"/>
        <v>-27</v>
      </c>
      <c r="Y42" s="13">
        <f t="shared" si="13"/>
        <v>-27</v>
      </c>
      <c r="Z42" s="13">
        <f t="shared" si="13"/>
        <v>-27</v>
      </c>
      <c r="AA42" s="13">
        <f t="shared" si="13"/>
        <v>-27</v>
      </c>
      <c r="AB42" s="13">
        <f t="shared" si="13"/>
        <v>-27</v>
      </c>
      <c r="AC42" s="13">
        <f t="shared" si="13"/>
        <v>-27</v>
      </c>
      <c r="AD42" s="13">
        <f t="shared" si="13"/>
        <v>-27</v>
      </c>
      <c r="AE42" s="13">
        <f t="shared" si="13"/>
        <v>-27</v>
      </c>
      <c r="AF42" s="13">
        <f t="shared" si="13"/>
        <v>-27</v>
      </c>
    </row>
    <row r="43" spans="2:32" s="7" customFormat="1" ht="12.95" customHeight="1" thickBot="1">
      <c r="B43" s="36" t="s">
        <v>14</v>
      </c>
      <c r="C43" s="36">
        <f>$K$52 - C41</f>
        <v>779</v>
      </c>
      <c r="D43" s="36">
        <f t="shared" ref="D43:AF43" si="14">$K$52 - D41</f>
        <v>779</v>
      </c>
      <c r="E43" s="36">
        <f t="shared" si="14"/>
        <v>779</v>
      </c>
      <c r="F43" s="36">
        <f t="shared" si="14"/>
        <v>779</v>
      </c>
      <c r="G43" s="36">
        <f t="shared" si="14"/>
        <v>752</v>
      </c>
      <c r="H43" s="36">
        <f t="shared" si="14"/>
        <v>542</v>
      </c>
      <c r="I43" s="36">
        <f t="shared" si="14"/>
        <v>422</v>
      </c>
      <c r="J43" s="36">
        <f t="shared" si="14"/>
        <v>422</v>
      </c>
      <c r="K43" s="36">
        <f t="shared" si="14"/>
        <v>422</v>
      </c>
      <c r="L43" s="36">
        <f t="shared" si="14"/>
        <v>422</v>
      </c>
      <c r="M43" s="36">
        <f t="shared" si="14"/>
        <v>422</v>
      </c>
      <c r="N43" s="36">
        <f t="shared" si="14"/>
        <v>422</v>
      </c>
      <c r="O43" s="36">
        <f t="shared" si="14"/>
        <v>422</v>
      </c>
      <c r="P43" s="36">
        <f t="shared" si="14"/>
        <v>422</v>
      </c>
      <c r="Q43" s="36">
        <f t="shared" si="14"/>
        <v>422</v>
      </c>
      <c r="R43" s="36">
        <f t="shared" si="14"/>
        <v>422</v>
      </c>
      <c r="S43" s="36">
        <f t="shared" si="14"/>
        <v>422</v>
      </c>
      <c r="T43" s="36">
        <f t="shared" si="14"/>
        <v>422</v>
      </c>
      <c r="U43" s="36">
        <f t="shared" si="14"/>
        <v>422</v>
      </c>
      <c r="V43" s="36">
        <f t="shared" si="14"/>
        <v>422</v>
      </c>
      <c r="W43" s="36">
        <f t="shared" si="14"/>
        <v>422</v>
      </c>
      <c r="X43" s="36">
        <f t="shared" si="14"/>
        <v>422</v>
      </c>
      <c r="Y43" s="36">
        <f t="shared" si="14"/>
        <v>422</v>
      </c>
      <c r="Z43" s="36">
        <f t="shared" si="14"/>
        <v>422</v>
      </c>
      <c r="AA43" s="36">
        <f t="shared" si="14"/>
        <v>422</v>
      </c>
      <c r="AB43" s="36">
        <f t="shared" si="14"/>
        <v>422</v>
      </c>
      <c r="AC43" s="36">
        <f t="shared" si="14"/>
        <v>422</v>
      </c>
      <c r="AD43" s="36">
        <f t="shared" si="14"/>
        <v>422</v>
      </c>
      <c r="AE43" s="36">
        <f t="shared" si="14"/>
        <v>422</v>
      </c>
      <c r="AF43" s="36">
        <f t="shared" si="14"/>
        <v>422</v>
      </c>
    </row>
    <row r="44" spans="2:32" s="7" customFormat="1" ht="12.95" customHeight="1" thickTop="1">
      <c r="B44" s="35" t="s">
        <v>15</v>
      </c>
      <c r="C44" s="35">
        <v>0</v>
      </c>
      <c r="D44" s="35">
        <v>0</v>
      </c>
      <c r="E44" s="35">
        <v>0</v>
      </c>
      <c r="F44" s="35">
        <v>0</v>
      </c>
      <c r="G44" s="35">
        <v>5</v>
      </c>
      <c r="H44" s="35">
        <v>33</v>
      </c>
      <c r="I44" s="35">
        <v>9</v>
      </c>
      <c r="J44" s="35">
        <v>0</v>
      </c>
      <c r="K44" s="35">
        <v>0</v>
      </c>
      <c r="L44" s="35">
        <v>0</v>
      </c>
      <c r="M44" s="35">
        <v>0</v>
      </c>
      <c r="N44" s="35">
        <v>0</v>
      </c>
      <c r="O44" s="35">
        <v>0</v>
      </c>
      <c r="P44" s="35">
        <v>0</v>
      </c>
      <c r="Q44" s="35">
        <v>0</v>
      </c>
      <c r="R44" s="35">
        <v>0</v>
      </c>
      <c r="S44" s="35">
        <v>0</v>
      </c>
      <c r="T44" s="35">
        <v>0</v>
      </c>
      <c r="U44" s="35"/>
      <c r="V44" s="35"/>
      <c r="W44" s="35"/>
      <c r="X44" s="35"/>
      <c r="Y44" s="35"/>
      <c r="Z44" s="35"/>
      <c r="AA44" s="35"/>
      <c r="AB44" s="35"/>
      <c r="AC44" s="35"/>
      <c r="AD44" s="35"/>
      <c r="AE44" s="35"/>
      <c r="AF44" s="35"/>
    </row>
    <row r="45" spans="2:32" s="7" customFormat="1" ht="12.95" customHeight="1">
      <c r="B45" s="11" t="s">
        <v>16</v>
      </c>
      <c r="C45" s="11">
        <v>0</v>
      </c>
      <c r="D45" s="11">
        <v>0</v>
      </c>
      <c r="E45" s="11">
        <v>0</v>
      </c>
      <c r="F45" s="11">
        <v>0</v>
      </c>
      <c r="G45" s="11">
        <v>5</v>
      </c>
      <c r="H45" s="11">
        <v>33</v>
      </c>
      <c r="I45" s="11">
        <v>9</v>
      </c>
      <c r="J45" s="11">
        <v>0</v>
      </c>
      <c r="K45" s="11">
        <v>0</v>
      </c>
      <c r="L45" s="11">
        <v>0</v>
      </c>
      <c r="M45" s="11">
        <v>0</v>
      </c>
      <c r="N45" s="11">
        <v>0</v>
      </c>
      <c r="O45" s="11">
        <v>0</v>
      </c>
      <c r="P45" s="11">
        <v>0</v>
      </c>
      <c r="Q45" s="11">
        <v>0</v>
      </c>
      <c r="R45" s="11">
        <v>0</v>
      </c>
      <c r="S45" s="11">
        <v>0</v>
      </c>
      <c r="T45" s="11">
        <v>0</v>
      </c>
      <c r="U45" s="11"/>
      <c r="V45" s="11"/>
      <c r="W45" s="11"/>
      <c r="X45" s="11"/>
      <c r="Y45" s="11"/>
      <c r="Z45" s="11"/>
      <c r="AA45" s="11"/>
      <c r="AB45" s="11"/>
      <c r="AC45" s="11"/>
      <c r="AD45" s="11"/>
      <c r="AE45" s="11"/>
      <c r="AF45" s="11"/>
    </row>
    <row r="46" spans="2:32" s="7" customFormat="1" ht="12.95" customHeight="1">
      <c r="B46" s="12" t="s">
        <v>17</v>
      </c>
      <c r="C46" s="12">
        <f>C44</f>
        <v>0</v>
      </c>
      <c r="D46" s="12">
        <f t="shared" ref="D46:AF46" si="15">C46+D44</f>
        <v>0</v>
      </c>
      <c r="E46" s="12">
        <f t="shared" si="15"/>
        <v>0</v>
      </c>
      <c r="F46" s="12">
        <f t="shared" si="15"/>
        <v>0</v>
      </c>
      <c r="G46" s="12">
        <f t="shared" si="15"/>
        <v>5</v>
      </c>
      <c r="H46" s="12">
        <f t="shared" si="15"/>
        <v>38</v>
      </c>
      <c r="I46" s="12">
        <f t="shared" si="15"/>
        <v>47</v>
      </c>
      <c r="J46" s="12">
        <f t="shared" si="15"/>
        <v>47</v>
      </c>
      <c r="K46" s="12">
        <f t="shared" si="15"/>
        <v>47</v>
      </c>
      <c r="L46" s="12">
        <f t="shared" si="15"/>
        <v>47</v>
      </c>
      <c r="M46" s="12">
        <f t="shared" si="15"/>
        <v>47</v>
      </c>
      <c r="N46" s="12">
        <f t="shared" si="15"/>
        <v>47</v>
      </c>
      <c r="O46" s="12">
        <f t="shared" si="15"/>
        <v>47</v>
      </c>
      <c r="P46" s="12">
        <f t="shared" si="15"/>
        <v>47</v>
      </c>
      <c r="Q46" s="12">
        <f t="shared" si="15"/>
        <v>47</v>
      </c>
      <c r="R46" s="12">
        <f t="shared" si="15"/>
        <v>47</v>
      </c>
      <c r="S46" s="12">
        <f t="shared" si="15"/>
        <v>47</v>
      </c>
      <c r="T46" s="12">
        <f t="shared" si="15"/>
        <v>47</v>
      </c>
      <c r="U46" s="12">
        <f t="shared" si="15"/>
        <v>47</v>
      </c>
      <c r="V46" s="12">
        <f t="shared" si="15"/>
        <v>47</v>
      </c>
      <c r="W46" s="12">
        <f t="shared" si="15"/>
        <v>47</v>
      </c>
      <c r="X46" s="12">
        <f t="shared" si="15"/>
        <v>47</v>
      </c>
      <c r="Y46" s="12">
        <f t="shared" si="15"/>
        <v>47</v>
      </c>
      <c r="Z46" s="12">
        <f t="shared" si="15"/>
        <v>47</v>
      </c>
      <c r="AA46" s="12">
        <f t="shared" si="15"/>
        <v>47</v>
      </c>
      <c r="AB46" s="12">
        <f t="shared" si="15"/>
        <v>47</v>
      </c>
      <c r="AC46" s="12">
        <f t="shared" si="15"/>
        <v>47</v>
      </c>
      <c r="AD46" s="12">
        <f t="shared" si="15"/>
        <v>47</v>
      </c>
      <c r="AE46" s="12">
        <f t="shared" si="15"/>
        <v>47</v>
      </c>
      <c r="AF46" s="12">
        <f t="shared" si="15"/>
        <v>47</v>
      </c>
    </row>
    <row r="47" spans="2:32" s="7" customFormat="1" ht="12.95" customHeight="1">
      <c r="B47" s="12" t="s">
        <v>18</v>
      </c>
      <c r="C47" s="12">
        <f>C45</f>
        <v>0</v>
      </c>
      <c r="D47" s="12">
        <f t="shared" ref="D47:AF47" si="16">C47+D45</f>
        <v>0</v>
      </c>
      <c r="E47" s="12">
        <f t="shared" si="16"/>
        <v>0</v>
      </c>
      <c r="F47" s="12">
        <f t="shared" si="16"/>
        <v>0</v>
      </c>
      <c r="G47" s="12">
        <f t="shared" si="16"/>
        <v>5</v>
      </c>
      <c r="H47" s="12">
        <f t="shared" si="16"/>
        <v>38</v>
      </c>
      <c r="I47" s="12">
        <f t="shared" si="16"/>
        <v>47</v>
      </c>
      <c r="J47" s="12">
        <f t="shared" si="16"/>
        <v>47</v>
      </c>
      <c r="K47" s="12">
        <f t="shared" si="16"/>
        <v>47</v>
      </c>
      <c r="L47" s="12">
        <f t="shared" si="16"/>
        <v>47</v>
      </c>
      <c r="M47" s="12">
        <f t="shared" si="16"/>
        <v>47</v>
      </c>
      <c r="N47" s="12">
        <f t="shared" si="16"/>
        <v>47</v>
      </c>
      <c r="O47" s="12">
        <f t="shared" si="16"/>
        <v>47</v>
      </c>
      <c r="P47" s="12">
        <f t="shared" si="16"/>
        <v>47</v>
      </c>
      <c r="Q47" s="12">
        <f t="shared" si="16"/>
        <v>47</v>
      </c>
      <c r="R47" s="12">
        <f t="shared" si="16"/>
        <v>47</v>
      </c>
      <c r="S47" s="12">
        <f t="shared" si="16"/>
        <v>47</v>
      </c>
      <c r="T47" s="12">
        <f t="shared" si="16"/>
        <v>47</v>
      </c>
      <c r="U47" s="12">
        <f t="shared" si="16"/>
        <v>47</v>
      </c>
      <c r="V47" s="12">
        <f t="shared" si="16"/>
        <v>47</v>
      </c>
      <c r="W47" s="12">
        <f t="shared" si="16"/>
        <v>47</v>
      </c>
      <c r="X47" s="12">
        <f t="shared" si="16"/>
        <v>47</v>
      </c>
      <c r="Y47" s="12">
        <f t="shared" si="16"/>
        <v>47</v>
      </c>
      <c r="Z47" s="12">
        <f t="shared" si="16"/>
        <v>47</v>
      </c>
      <c r="AA47" s="12">
        <f t="shared" si="16"/>
        <v>47</v>
      </c>
      <c r="AB47" s="12">
        <f t="shared" si="16"/>
        <v>47</v>
      </c>
      <c r="AC47" s="12">
        <f t="shared" si="16"/>
        <v>47</v>
      </c>
      <c r="AD47" s="12">
        <f t="shared" si="16"/>
        <v>47</v>
      </c>
      <c r="AE47" s="12">
        <f t="shared" si="16"/>
        <v>47</v>
      </c>
      <c r="AF47" s="12">
        <f t="shared" si="16"/>
        <v>47</v>
      </c>
    </row>
    <row r="48" spans="2:32" s="7" customFormat="1" ht="12.95" customHeight="1">
      <c r="B48" s="11" t="s">
        <v>19</v>
      </c>
      <c r="C48" s="11">
        <f>C46-C47</f>
        <v>0</v>
      </c>
      <c r="D48" s="11">
        <f t="shared" ref="D48:AF48" si="17">D46-D47</f>
        <v>0</v>
      </c>
      <c r="E48" s="11">
        <f t="shared" si="17"/>
        <v>0</v>
      </c>
      <c r="F48" s="11">
        <f t="shared" si="17"/>
        <v>0</v>
      </c>
      <c r="G48" s="11">
        <f t="shared" si="17"/>
        <v>0</v>
      </c>
      <c r="H48" s="11">
        <f t="shared" si="17"/>
        <v>0</v>
      </c>
      <c r="I48" s="11">
        <f t="shared" si="17"/>
        <v>0</v>
      </c>
      <c r="J48" s="11">
        <f t="shared" si="17"/>
        <v>0</v>
      </c>
      <c r="K48" s="11">
        <f t="shared" si="17"/>
        <v>0</v>
      </c>
      <c r="L48" s="11">
        <f t="shared" si="17"/>
        <v>0</v>
      </c>
      <c r="M48" s="11">
        <f t="shared" si="17"/>
        <v>0</v>
      </c>
      <c r="N48" s="11">
        <f t="shared" si="17"/>
        <v>0</v>
      </c>
      <c r="O48" s="11">
        <f t="shared" si="17"/>
        <v>0</v>
      </c>
      <c r="P48" s="11">
        <f t="shared" si="17"/>
        <v>0</v>
      </c>
      <c r="Q48" s="11">
        <f t="shared" si="17"/>
        <v>0</v>
      </c>
      <c r="R48" s="11">
        <f t="shared" si="17"/>
        <v>0</v>
      </c>
      <c r="S48" s="11">
        <f t="shared" si="17"/>
        <v>0</v>
      </c>
      <c r="T48" s="11">
        <f t="shared" si="17"/>
        <v>0</v>
      </c>
      <c r="U48" s="11">
        <f t="shared" si="17"/>
        <v>0</v>
      </c>
      <c r="V48" s="11">
        <f t="shared" si="17"/>
        <v>0</v>
      </c>
      <c r="W48" s="11">
        <f t="shared" si="17"/>
        <v>0</v>
      </c>
      <c r="X48" s="11">
        <f t="shared" si="17"/>
        <v>0</v>
      </c>
      <c r="Y48" s="11">
        <f t="shared" si="17"/>
        <v>0</v>
      </c>
      <c r="Z48" s="11">
        <f t="shared" si="17"/>
        <v>0</v>
      </c>
      <c r="AA48" s="11">
        <f t="shared" si="17"/>
        <v>0</v>
      </c>
      <c r="AB48" s="11">
        <f t="shared" si="17"/>
        <v>0</v>
      </c>
      <c r="AC48" s="11">
        <f t="shared" si="17"/>
        <v>0</v>
      </c>
      <c r="AD48" s="11">
        <f t="shared" si="17"/>
        <v>0</v>
      </c>
      <c r="AE48" s="11">
        <f t="shared" si="17"/>
        <v>0</v>
      </c>
      <c r="AF48" s="11">
        <f t="shared" si="17"/>
        <v>0</v>
      </c>
    </row>
    <row r="49" spans="2:32" s="2" customFormat="1" ht="6.75" customHeight="1">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2:32" ht="12" customHeight="1"/>
    <row r="51" spans="2:32" ht="21" customHeight="1">
      <c r="B51" s="4"/>
      <c r="C51" s="206" t="s">
        <v>20</v>
      </c>
      <c r="D51" s="206"/>
      <c r="E51" s="207" t="s">
        <v>21</v>
      </c>
      <c r="F51" s="207"/>
      <c r="G51" s="199" t="s">
        <v>22</v>
      </c>
      <c r="H51" s="202"/>
      <c r="I51" s="181" t="s">
        <v>23</v>
      </c>
      <c r="J51" s="182"/>
      <c r="K51" s="181" t="s">
        <v>24</v>
      </c>
      <c r="L51" s="182"/>
    </row>
    <row r="52" spans="2:32" ht="11.25" customHeight="1">
      <c r="B52" s="5" t="s">
        <v>25</v>
      </c>
      <c r="C52" s="184" t="s">
        <v>26</v>
      </c>
      <c r="D52" s="184"/>
      <c r="E52" s="184">
        <v>0</v>
      </c>
      <c r="F52" s="184"/>
      <c r="G52" s="165" t="s">
        <v>27</v>
      </c>
      <c r="H52" s="208"/>
      <c r="I52" s="183">
        <v>102</v>
      </c>
      <c r="J52" s="184"/>
      <c r="K52" s="183">
        <v>779</v>
      </c>
      <c r="L52" s="184"/>
      <c r="R52" s="271" t="s">
        <v>28</v>
      </c>
      <c r="S52" s="272"/>
      <c r="T52" s="273"/>
      <c r="U52" s="268" t="s">
        <v>29</v>
      </c>
      <c r="V52" s="268"/>
      <c r="W52" s="268"/>
      <c r="X52" s="265" t="s">
        <v>30</v>
      </c>
      <c r="Y52" s="266"/>
      <c r="Z52" s="267"/>
      <c r="AA52" s="265" t="s">
        <v>31</v>
      </c>
      <c r="AB52" s="266"/>
      <c r="AC52" s="267"/>
    </row>
    <row r="53" spans="2:32" ht="13.5" customHeight="1">
      <c r="R53" s="274">
        <f>U53+X53-AA53</f>
        <v>2</v>
      </c>
      <c r="S53" s="275"/>
      <c r="T53" s="276"/>
      <c r="U53" s="167">
        <v>2</v>
      </c>
      <c r="V53" s="167"/>
      <c r="W53" s="167"/>
      <c r="X53" s="274">
        <v>1</v>
      </c>
      <c r="Y53" s="275"/>
      <c r="Z53" s="267"/>
      <c r="AA53" s="274">
        <v>1</v>
      </c>
      <c r="AB53" s="275"/>
      <c r="AC53" s="267"/>
    </row>
    <row r="54" spans="2:32" ht="9.75" customHeight="1">
      <c r="B54" s="199" t="s">
        <v>32</v>
      </c>
      <c r="C54" s="169" t="s">
        <v>33</v>
      </c>
      <c r="D54" s="209"/>
      <c r="E54" s="209"/>
      <c r="F54" s="209"/>
      <c r="G54" s="209"/>
      <c r="H54" s="210"/>
      <c r="I54" s="155" t="s">
        <v>34</v>
      </c>
      <c r="J54" s="224"/>
      <c r="K54" s="211" t="s">
        <v>35</v>
      </c>
      <c r="L54" s="182"/>
      <c r="M54" s="199" t="s">
        <v>36</v>
      </c>
      <c r="N54" s="199"/>
    </row>
    <row r="55" spans="2:32" ht="20.25" customHeight="1">
      <c r="B55" s="206"/>
      <c r="C55" s="205" t="s">
        <v>37</v>
      </c>
      <c r="D55" s="205"/>
      <c r="E55" s="199" t="s">
        <v>38</v>
      </c>
      <c r="F55" s="199"/>
      <c r="G55" s="199" t="s">
        <v>39</v>
      </c>
      <c r="H55" s="202"/>
      <c r="I55" s="225"/>
      <c r="J55" s="226"/>
      <c r="K55" s="211"/>
      <c r="L55" s="182"/>
      <c r="M55" s="199"/>
      <c r="N55" s="199"/>
      <c r="O55" s="194"/>
      <c r="P55" s="195"/>
      <c r="R55" s="215"/>
      <c r="S55" s="216"/>
      <c r="T55" s="217"/>
      <c r="U55" s="169" t="s">
        <v>40</v>
      </c>
      <c r="V55" s="170"/>
      <c r="W55" s="170"/>
      <c r="X55" s="170"/>
      <c r="Y55" s="170"/>
      <c r="Z55" s="171"/>
      <c r="AA55" s="300" t="s">
        <v>41</v>
      </c>
      <c r="AB55" s="170"/>
      <c r="AC55" s="170"/>
      <c r="AD55" s="170"/>
      <c r="AE55" s="170"/>
      <c r="AF55" s="301"/>
    </row>
    <row r="56" spans="2:32" ht="10.5" customHeight="1">
      <c r="B56" s="6" t="s">
        <v>42</v>
      </c>
      <c r="C56" s="184">
        <f>E56+G56</f>
        <v>19</v>
      </c>
      <c r="D56" s="184"/>
      <c r="E56" s="203">
        <v>16</v>
      </c>
      <c r="F56" s="183"/>
      <c r="G56" s="203">
        <v>3</v>
      </c>
      <c r="H56" s="204"/>
      <c r="I56" s="227">
        <v>19</v>
      </c>
      <c r="J56" s="228"/>
      <c r="K56" s="165">
        <v>0</v>
      </c>
      <c r="L56" s="166"/>
      <c r="M56" s="168" t="s">
        <v>43</v>
      </c>
      <c r="N56" s="168"/>
      <c r="O56" s="194"/>
      <c r="P56" s="195"/>
      <c r="R56" s="218"/>
      <c r="S56" s="219"/>
      <c r="T56" s="220"/>
      <c r="U56" s="189" t="s">
        <v>44</v>
      </c>
      <c r="V56" s="156"/>
      <c r="W56" s="278" t="s">
        <v>45</v>
      </c>
      <c r="X56" s="237"/>
      <c r="Y56" s="159" t="s">
        <v>46</v>
      </c>
      <c r="Z56" s="160"/>
      <c r="AA56" s="155" t="s">
        <v>44</v>
      </c>
      <c r="AB56" s="156"/>
      <c r="AC56" s="278" t="s">
        <v>45</v>
      </c>
      <c r="AD56" s="237"/>
      <c r="AE56" s="159" t="s">
        <v>46</v>
      </c>
      <c r="AF56" s="302"/>
    </row>
    <row r="57" spans="2:32" ht="13.5" customHeight="1">
      <c r="B57" s="6" t="s">
        <v>47</v>
      </c>
      <c r="C57" s="184">
        <f>E57+G57</f>
        <v>16</v>
      </c>
      <c r="D57" s="184"/>
      <c r="E57" s="203">
        <v>16</v>
      </c>
      <c r="F57" s="183"/>
      <c r="G57" s="203">
        <v>0</v>
      </c>
      <c r="H57" s="204"/>
      <c r="I57" s="227">
        <v>16</v>
      </c>
      <c r="J57" s="228"/>
      <c r="K57" s="165">
        <v>0</v>
      </c>
      <c r="L57" s="166"/>
      <c r="M57" s="168" t="s">
        <v>43</v>
      </c>
      <c r="N57" s="168"/>
      <c r="O57" s="194"/>
      <c r="P57" s="195"/>
      <c r="R57" s="221"/>
      <c r="S57" s="222"/>
      <c r="T57" s="223"/>
      <c r="U57" s="277"/>
      <c r="V57" s="158"/>
      <c r="W57" s="279"/>
      <c r="X57" s="280"/>
      <c r="Y57" s="161"/>
      <c r="Z57" s="162"/>
      <c r="AA57" s="157"/>
      <c r="AB57" s="158"/>
      <c r="AC57" s="279"/>
      <c r="AD57" s="280"/>
      <c r="AE57" s="161"/>
      <c r="AF57" s="303"/>
    </row>
    <row r="58" spans="2:32" ht="13.5" customHeight="1">
      <c r="B58" s="6" t="s">
        <v>48</v>
      </c>
      <c r="C58" s="184">
        <f>E58+G58</f>
        <v>15</v>
      </c>
      <c r="D58" s="184"/>
      <c r="E58" s="203">
        <v>10</v>
      </c>
      <c r="F58" s="183"/>
      <c r="G58" s="203">
        <v>5</v>
      </c>
      <c r="H58" s="204"/>
      <c r="I58" s="227">
        <v>15</v>
      </c>
      <c r="J58" s="228"/>
      <c r="K58" s="165">
        <v>0</v>
      </c>
      <c r="L58" s="166"/>
      <c r="M58" s="168" t="s">
        <v>43</v>
      </c>
      <c r="N58" s="168"/>
      <c r="O58" s="194"/>
      <c r="P58" s="195"/>
      <c r="R58" s="212" t="s">
        <v>49</v>
      </c>
      <c r="S58" s="213"/>
      <c r="T58" s="214"/>
      <c r="U58" s="154">
        <v>0</v>
      </c>
      <c r="V58" s="154"/>
      <c r="W58" s="154">
        <f>U58-Y58</f>
        <v>0</v>
      </c>
      <c r="X58" s="154"/>
      <c r="Y58" s="163">
        <v>0</v>
      </c>
      <c r="Z58" s="164"/>
      <c r="AA58" s="153">
        <v>0</v>
      </c>
      <c r="AB58" s="154"/>
      <c r="AC58" s="154">
        <f>AA58-AE58</f>
        <v>0</v>
      </c>
      <c r="AD58" s="154"/>
      <c r="AE58" s="163">
        <v>0</v>
      </c>
      <c r="AF58" s="154"/>
    </row>
    <row r="59" spans="2:32" ht="13.5" customHeight="1">
      <c r="B59" s="17" t="s">
        <v>50</v>
      </c>
      <c r="C59" s="203">
        <f>SUM(C56:D58)</f>
        <v>50</v>
      </c>
      <c r="D59" s="228"/>
      <c r="E59" s="203">
        <f>SUM(E56:F58)</f>
        <v>42</v>
      </c>
      <c r="F59" s="183"/>
      <c r="G59" s="203">
        <f>SUM(G56:H58)</f>
        <v>8</v>
      </c>
      <c r="H59" s="228"/>
      <c r="I59" s="227">
        <f>SUM(I56:J58)</f>
        <v>50</v>
      </c>
      <c r="J59" s="183"/>
      <c r="K59" s="165">
        <v>0</v>
      </c>
      <c r="L59" s="198"/>
      <c r="M59" s="196" t="s">
        <v>43</v>
      </c>
      <c r="N59" s="197"/>
      <c r="O59" s="16"/>
      <c r="P59" s="16"/>
    </row>
    <row r="60" spans="2:32" ht="11.25" customHeight="1">
      <c r="B60" s="18"/>
      <c r="C60" s="18"/>
      <c r="D60" s="18"/>
      <c r="E60" s="18"/>
      <c r="F60" s="18"/>
      <c r="G60" s="18"/>
      <c r="H60" s="18"/>
      <c r="I60" s="18"/>
      <c r="J60" s="18"/>
      <c r="K60" s="18"/>
      <c r="L60" s="18"/>
      <c r="M60" s="18"/>
      <c r="N60" s="18"/>
      <c r="O60" s="193"/>
      <c r="P60" s="193"/>
      <c r="R60" s="176" t="s">
        <v>51</v>
      </c>
      <c r="S60" s="176"/>
      <c r="T60" s="176"/>
      <c r="U60" s="174" t="s">
        <v>52</v>
      </c>
      <c r="V60" s="174"/>
      <c r="W60" s="174"/>
      <c r="X60" s="174" t="s">
        <v>53</v>
      </c>
      <c r="Y60" s="174"/>
      <c r="Z60" s="174"/>
      <c r="AA60" s="175" t="s">
        <v>54</v>
      </c>
      <c r="AB60" s="175"/>
    </row>
    <row r="61" spans="2:32" ht="13.35" customHeight="1">
      <c r="B61" s="231" t="s">
        <v>55</v>
      </c>
      <c r="C61" s="155" t="s">
        <v>56</v>
      </c>
      <c r="D61" s="233"/>
      <c r="E61" s="236" t="s">
        <v>57</v>
      </c>
      <c r="F61" s="237"/>
      <c r="G61" s="205" t="s">
        <v>58</v>
      </c>
      <c r="H61" s="205"/>
      <c r="I61" s="205" t="s">
        <v>59</v>
      </c>
      <c r="J61" s="240"/>
      <c r="K61" s="241" t="s">
        <v>44</v>
      </c>
      <c r="L61" s="242"/>
      <c r="M61" s="189" t="s">
        <v>46</v>
      </c>
      <c r="N61" s="190"/>
      <c r="O61" s="189" t="s">
        <v>60</v>
      </c>
      <c r="P61" s="229"/>
      <c r="R61" s="177" t="s">
        <v>61</v>
      </c>
      <c r="S61" s="177"/>
      <c r="T61" s="177"/>
      <c r="U61" s="178">
        <v>0</v>
      </c>
      <c r="V61" s="179"/>
      <c r="W61" s="180"/>
      <c r="X61" s="178">
        <v>0</v>
      </c>
      <c r="Y61" s="179"/>
      <c r="Z61" s="180"/>
      <c r="AA61" s="172">
        <f>IF(U61&lt;&gt;0, X61/U61, 0)</f>
        <v>0</v>
      </c>
      <c r="AB61" s="173"/>
    </row>
    <row r="62" spans="2:32" ht="13.35" customHeight="1" thickBot="1">
      <c r="B62" s="232"/>
      <c r="C62" s="234"/>
      <c r="D62" s="235"/>
      <c r="E62" s="238"/>
      <c r="F62" s="239"/>
      <c r="G62" s="245"/>
      <c r="H62" s="245"/>
      <c r="I62" s="205"/>
      <c r="J62" s="240"/>
      <c r="K62" s="243"/>
      <c r="L62" s="244"/>
      <c r="M62" s="191"/>
      <c r="N62" s="192"/>
      <c r="O62" s="191"/>
      <c r="P62" s="230"/>
      <c r="R62" s="177" t="s">
        <v>62</v>
      </c>
      <c r="S62" s="177"/>
      <c r="T62" s="177"/>
      <c r="U62" s="178">
        <v>0</v>
      </c>
      <c r="V62" s="179"/>
      <c r="W62" s="180"/>
      <c r="X62" s="178">
        <v>0</v>
      </c>
      <c r="Y62" s="179"/>
      <c r="Z62" s="180"/>
      <c r="AA62" s="172">
        <f>IF(U62&lt;&gt;0, X62/U62, 0)</f>
        <v>0</v>
      </c>
      <c r="AB62" s="173"/>
    </row>
    <row r="63" spans="2:32" ht="11.25" customHeight="1" thickBot="1">
      <c r="B63" s="5" t="s">
        <v>63</v>
      </c>
      <c r="C63" s="250">
        <v>26.8</v>
      </c>
      <c r="D63" s="251"/>
      <c r="E63" s="260" t="s">
        <v>64</v>
      </c>
      <c r="F63" s="261"/>
      <c r="G63" s="258">
        <f>IF(C63=0,0,K63/C63)</f>
        <v>3.7313432835820897</v>
      </c>
      <c r="H63" s="259"/>
      <c r="I63" s="151"/>
      <c r="J63" s="152"/>
      <c r="K63" s="183">
        <f t="shared" ref="K63:K68" si="18">M63+O63</f>
        <v>100</v>
      </c>
      <c r="L63" s="184"/>
      <c r="M63" s="184">
        <v>81.5</v>
      </c>
      <c r="N63" s="184"/>
      <c r="O63" s="184">
        <v>18.5</v>
      </c>
      <c r="P63" s="184"/>
    </row>
    <row r="64" spans="2:32" ht="12.95" customHeight="1" thickBot="1">
      <c r="B64" s="37" t="s">
        <v>65</v>
      </c>
      <c r="C64" s="250">
        <v>66.900000000000006</v>
      </c>
      <c r="D64" s="251"/>
      <c r="E64" s="252" t="s">
        <v>66</v>
      </c>
      <c r="F64" s="253"/>
      <c r="G64" s="258">
        <f>IF(C64=0,0,K64/C64)</f>
        <v>3.3781763826606874</v>
      </c>
      <c r="H64" s="259"/>
      <c r="I64" s="38"/>
      <c r="J64" s="39"/>
      <c r="K64" s="183">
        <f t="shared" si="18"/>
        <v>226</v>
      </c>
      <c r="L64" s="184"/>
      <c r="M64" s="187">
        <v>155</v>
      </c>
      <c r="N64" s="188"/>
      <c r="O64" s="187">
        <v>71</v>
      </c>
      <c r="P64" s="188"/>
    </row>
    <row r="65" spans="2:16" ht="12.95" customHeight="1" thickBot="1">
      <c r="B65" s="40" t="s">
        <v>67</v>
      </c>
      <c r="C65" s="254">
        <v>7.5</v>
      </c>
      <c r="D65" s="255"/>
      <c r="E65" s="248" t="s">
        <v>66</v>
      </c>
      <c r="F65" s="249"/>
      <c r="G65" s="246">
        <f>IF(C65=0,0,K65/C65)</f>
        <v>4</v>
      </c>
      <c r="H65" s="247"/>
      <c r="I65" s="41"/>
      <c r="J65" s="42"/>
      <c r="K65" s="269">
        <f t="shared" si="18"/>
        <v>30</v>
      </c>
      <c r="L65" s="270"/>
      <c r="M65" s="185">
        <v>0</v>
      </c>
      <c r="N65" s="186"/>
      <c r="O65" s="185">
        <v>30</v>
      </c>
      <c r="P65" s="186"/>
    </row>
    <row r="66" spans="2:16" ht="12.95" customHeight="1" thickTop="1" thickBot="1">
      <c r="B66" s="43" t="s">
        <v>68</v>
      </c>
      <c r="C66" s="44"/>
      <c r="D66" s="45"/>
      <c r="E66" s="256" t="s">
        <v>69</v>
      </c>
      <c r="F66" s="257"/>
      <c r="G66" s="284"/>
      <c r="H66" s="285"/>
      <c r="I66" s="294">
        <f>IF(C63=0,0,K66/C63)</f>
        <v>1.1567164179104477</v>
      </c>
      <c r="J66" s="295"/>
      <c r="K66" s="263">
        <f t="shared" si="18"/>
        <v>31</v>
      </c>
      <c r="L66" s="264"/>
      <c r="M66" s="264">
        <v>22</v>
      </c>
      <c r="N66" s="264"/>
      <c r="O66" s="264">
        <v>9</v>
      </c>
      <c r="P66" s="264"/>
    </row>
    <row r="67" spans="2:16" ht="10.5" thickBot="1">
      <c r="B67" s="14" t="s">
        <v>70</v>
      </c>
      <c r="C67" s="46"/>
      <c r="D67" s="47"/>
      <c r="E67" s="260" t="s">
        <v>71</v>
      </c>
      <c r="F67" s="261"/>
      <c r="G67" s="290"/>
      <c r="H67" s="291"/>
      <c r="I67" s="292">
        <f>IF(C64=0,0,K67/C64)</f>
        <v>0.23916292974588937</v>
      </c>
      <c r="J67" s="293"/>
      <c r="K67" s="183">
        <f t="shared" si="18"/>
        <v>16</v>
      </c>
      <c r="L67" s="184"/>
      <c r="M67" s="184">
        <v>16</v>
      </c>
      <c r="N67" s="184"/>
      <c r="O67" s="184">
        <v>0</v>
      </c>
      <c r="P67" s="184"/>
    </row>
    <row r="68" spans="2:16" ht="12.95" customHeight="1" thickBot="1">
      <c r="B68" s="48" t="s">
        <v>72</v>
      </c>
      <c r="C68" s="49"/>
      <c r="D68" s="50"/>
      <c r="E68" s="282" t="s">
        <v>73</v>
      </c>
      <c r="F68" s="283"/>
      <c r="G68" s="284"/>
      <c r="H68" s="285"/>
      <c r="I68" s="286">
        <f>IF(C65=0,0,K68/C65)</f>
        <v>0</v>
      </c>
      <c r="J68" s="287"/>
      <c r="K68" s="288">
        <f t="shared" si="18"/>
        <v>0</v>
      </c>
      <c r="L68" s="289"/>
      <c r="M68" s="289">
        <v>0</v>
      </c>
      <c r="N68" s="289"/>
      <c r="O68" s="289">
        <v>0</v>
      </c>
      <c r="P68" s="289"/>
    </row>
    <row r="69" spans="2:16" ht="12" customHeight="1" thickTop="1">
      <c r="B69" s="51" t="s">
        <v>74</v>
      </c>
      <c r="C69" s="52"/>
      <c r="D69" s="53"/>
      <c r="E69" s="296"/>
      <c r="F69" s="297"/>
      <c r="G69" s="305"/>
      <c r="H69" s="305"/>
      <c r="I69" s="298"/>
      <c r="J69" s="299"/>
      <c r="K69" s="306">
        <f>M69+O69</f>
        <v>0</v>
      </c>
      <c r="L69" s="304"/>
      <c r="M69" s="304">
        <v>0</v>
      </c>
      <c r="N69" s="304"/>
      <c r="O69" s="304">
        <v>0</v>
      </c>
      <c r="P69" s="304"/>
    </row>
    <row r="70" spans="2:16" ht="12.95" customHeight="1">
      <c r="B70" s="14" t="s">
        <v>75</v>
      </c>
      <c r="C70" s="54"/>
      <c r="D70" s="55"/>
      <c r="E70" s="296"/>
      <c r="F70" s="297"/>
      <c r="G70" s="281"/>
      <c r="H70" s="281"/>
      <c r="I70" s="298"/>
      <c r="J70" s="299"/>
      <c r="K70" s="183">
        <f>M70+O70</f>
        <v>0</v>
      </c>
      <c r="L70" s="184"/>
      <c r="M70" s="184">
        <v>0</v>
      </c>
      <c r="N70" s="184"/>
      <c r="O70" s="184">
        <v>0</v>
      </c>
      <c r="P70" s="184"/>
    </row>
    <row r="71" spans="2:16" ht="12.95" customHeight="1">
      <c r="B71" s="14" t="s">
        <v>76</v>
      </c>
      <c r="C71" s="54"/>
      <c r="D71" s="55"/>
      <c r="E71" s="296"/>
      <c r="F71" s="297"/>
      <c r="G71" s="281"/>
      <c r="H71" s="281"/>
      <c r="I71" s="298"/>
      <c r="J71" s="299"/>
      <c r="K71" s="183">
        <f>M71+O71</f>
        <v>0</v>
      </c>
      <c r="L71" s="184"/>
      <c r="M71" s="184">
        <v>0</v>
      </c>
      <c r="N71" s="184"/>
      <c r="O71" s="184">
        <v>0</v>
      </c>
      <c r="P71" s="184"/>
    </row>
    <row r="72" spans="2:16" ht="11.25" customHeight="1">
      <c r="M72" s="34"/>
      <c r="N72" s="34"/>
    </row>
    <row r="73" spans="2:16" ht="11.25" customHeight="1">
      <c r="M73" s="16"/>
      <c r="N73" s="16"/>
    </row>
    <row r="74" spans="2:16" ht="11.25" customHeight="1">
      <c r="M74" s="16"/>
      <c r="N74" s="16"/>
    </row>
    <row r="75" spans="2:16" ht="11.25" customHeight="1">
      <c r="M75" s="16"/>
      <c r="N75" s="16"/>
    </row>
    <row r="76" spans="2:16" ht="11.25" customHeight="1">
      <c r="M76" s="16"/>
      <c r="N76" s="16"/>
    </row>
  </sheetData>
  <mergeCells count="158">
    <mergeCell ref="E71:F71"/>
    <mergeCell ref="G71:H71"/>
    <mergeCell ref="I71:J71"/>
    <mergeCell ref="K71:L71"/>
    <mergeCell ref="I70:J70"/>
    <mergeCell ref="K70:L70"/>
    <mergeCell ref="AA55:AF55"/>
    <mergeCell ref="AC56:AD57"/>
    <mergeCell ref="AE56:AF57"/>
    <mergeCell ref="AC58:AD58"/>
    <mergeCell ref="AE58:AF58"/>
    <mergeCell ref="M71:N71"/>
    <mergeCell ref="O71:P71"/>
    <mergeCell ref="M68:N68"/>
    <mergeCell ref="O68:P68"/>
    <mergeCell ref="M69:N69"/>
    <mergeCell ref="O69:P69"/>
    <mergeCell ref="M70:N70"/>
    <mergeCell ref="O70:P70"/>
    <mergeCell ref="E69:F69"/>
    <mergeCell ref="G69:H69"/>
    <mergeCell ref="I69:J69"/>
    <mergeCell ref="K69:L69"/>
    <mergeCell ref="E70:F70"/>
    <mergeCell ref="G70:H70"/>
    <mergeCell ref="E68:F68"/>
    <mergeCell ref="G68:H68"/>
    <mergeCell ref="I68:J68"/>
    <mergeCell ref="K68:L68"/>
    <mergeCell ref="O66:P66"/>
    <mergeCell ref="E67:F67"/>
    <mergeCell ref="G67:H67"/>
    <mergeCell ref="I67:J67"/>
    <mergeCell ref="K67:L67"/>
    <mergeCell ref="M67:N67"/>
    <mergeCell ref="G66:H66"/>
    <mergeCell ref="I66:J66"/>
    <mergeCell ref="Y7:Z7"/>
    <mergeCell ref="AA7:AB7"/>
    <mergeCell ref="K7:L7"/>
    <mergeCell ref="M7:N7"/>
    <mergeCell ref="O7:P7"/>
    <mergeCell ref="Q7:R7"/>
    <mergeCell ref="O67:P67"/>
    <mergeCell ref="K66:L66"/>
    <mergeCell ref="M66:N66"/>
    <mergeCell ref="S7:T7"/>
    <mergeCell ref="U7:V7"/>
    <mergeCell ref="W7:X7"/>
    <mergeCell ref="X52:Z52"/>
    <mergeCell ref="AA52:AC52"/>
    <mergeCell ref="U52:W52"/>
    <mergeCell ref="K65:L65"/>
    <mergeCell ref="R52:T52"/>
    <mergeCell ref="R53:T53"/>
    <mergeCell ref="X53:Z53"/>
    <mergeCell ref="U56:V57"/>
    <mergeCell ref="W56:X57"/>
    <mergeCell ref="AA53:AC53"/>
    <mergeCell ref="K63:L63"/>
    <mergeCell ref="K64:L64"/>
    <mergeCell ref="G65:H65"/>
    <mergeCell ref="E65:F65"/>
    <mergeCell ref="C63:D63"/>
    <mergeCell ref="C64:D64"/>
    <mergeCell ref="C59:D59"/>
    <mergeCell ref="E59:F59"/>
    <mergeCell ref="E64:F64"/>
    <mergeCell ref="C65:D65"/>
    <mergeCell ref="E66:F66"/>
    <mergeCell ref="G64:H64"/>
    <mergeCell ref="G63:H63"/>
    <mergeCell ref="E63:F63"/>
    <mergeCell ref="B54:B55"/>
    <mergeCell ref="O55:P56"/>
    <mergeCell ref="K54:L55"/>
    <mergeCell ref="R58:T58"/>
    <mergeCell ref="R55:T57"/>
    <mergeCell ref="I54:J55"/>
    <mergeCell ref="I56:J56"/>
    <mergeCell ref="O61:P62"/>
    <mergeCell ref="B61:B62"/>
    <mergeCell ref="C61:D62"/>
    <mergeCell ref="E61:F62"/>
    <mergeCell ref="I61:J62"/>
    <mergeCell ref="K61:L62"/>
    <mergeCell ref="G59:H59"/>
    <mergeCell ref="G61:H62"/>
    <mergeCell ref="C57:D57"/>
    <mergeCell ref="C58:D58"/>
    <mergeCell ref="G57:H57"/>
    <mergeCell ref="G58:H58"/>
    <mergeCell ref="E57:F57"/>
    <mergeCell ref="E58:F58"/>
    <mergeCell ref="I58:J58"/>
    <mergeCell ref="I57:J57"/>
    <mergeCell ref="I59:J59"/>
    <mergeCell ref="C7:D7"/>
    <mergeCell ref="E7:F7"/>
    <mergeCell ref="G7:H7"/>
    <mergeCell ref="I7:J7"/>
    <mergeCell ref="G55:H55"/>
    <mergeCell ref="G56:H56"/>
    <mergeCell ref="C56:D56"/>
    <mergeCell ref="C55:D55"/>
    <mergeCell ref="E55:F55"/>
    <mergeCell ref="E56:F56"/>
    <mergeCell ref="C51:D51"/>
    <mergeCell ref="C52:D52"/>
    <mergeCell ref="E51:F51"/>
    <mergeCell ref="I51:J51"/>
    <mergeCell ref="I52:J52"/>
    <mergeCell ref="E52:F52"/>
    <mergeCell ref="G51:H51"/>
    <mergeCell ref="G52:H52"/>
    <mergeCell ref="C54:H54"/>
    <mergeCell ref="X62:Z62"/>
    <mergeCell ref="K51:L51"/>
    <mergeCell ref="K52:L52"/>
    <mergeCell ref="O65:P65"/>
    <mergeCell ref="M63:N63"/>
    <mergeCell ref="M64:N64"/>
    <mergeCell ref="M65:N65"/>
    <mergeCell ref="O63:P63"/>
    <mergeCell ref="O64:P64"/>
    <mergeCell ref="M61:N62"/>
    <mergeCell ref="O60:P60"/>
    <mergeCell ref="M57:N57"/>
    <mergeCell ref="M58:N58"/>
    <mergeCell ref="O57:P57"/>
    <mergeCell ref="O58:P58"/>
    <mergeCell ref="M59:N59"/>
    <mergeCell ref="K59:L59"/>
    <mergeCell ref="M54:N55"/>
    <mergeCell ref="I63:J63"/>
    <mergeCell ref="AA58:AB58"/>
    <mergeCell ref="AA56:AB57"/>
    <mergeCell ref="Y56:Z57"/>
    <mergeCell ref="Y58:Z58"/>
    <mergeCell ref="K57:L57"/>
    <mergeCell ref="K58:L58"/>
    <mergeCell ref="U53:W53"/>
    <mergeCell ref="K56:L56"/>
    <mergeCell ref="M56:N56"/>
    <mergeCell ref="U55:Z55"/>
    <mergeCell ref="W58:X58"/>
    <mergeCell ref="U58:V58"/>
    <mergeCell ref="AA61:AB61"/>
    <mergeCell ref="AA62:AB62"/>
    <mergeCell ref="U60:W60"/>
    <mergeCell ref="X60:Z60"/>
    <mergeCell ref="AA60:AB60"/>
    <mergeCell ref="R60:T60"/>
    <mergeCell ref="R61:T61"/>
    <mergeCell ref="R62:T62"/>
    <mergeCell ref="U61:W61"/>
    <mergeCell ref="U62:W62"/>
    <mergeCell ref="X61:Z61"/>
  </mergeCells>
  <phoneticPr fontId="3" type="noConversion"/>
  <printOptions horizontalCentered="1" verticalCentered="1"/>
  <pageMargins left="7.874015748031496E-2" right="7.874015748031496E-2" top="0" bottom="0" header="0" footer="0"/>
  <pageSetup paperSize="9" scale="59" orientation="landscape" r:id="rId1"/>
  <headerFooter alignWithMargins="0">
    <oddHeader>&amp;L&amp;"Calibri"&amp;13&amp;K000000 •• PROTECTED&amp;1#_x000D_</oddHeader>
    <oddFooter>&amp;L&amp;"Times New Roman,ตัวหนาเอียง"&amp;10File Name &amp;F, Save on &amp;D&amp;R&amp;"Times New Roman,ตัวหนาเอียง"Sheet &amp;A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41:AF47"/>
  <sheetViews>
    <sheetView view="pageBreakPreview" zoomScaleNormal="100" zoomScaleSheetLayoutView="100" workbookViewId="0"/>
  </sheetViews>
  <sheetFormatPr defaultRowHeight="12.75"/>
  <cols>
    <col min="1" max="1" width="2" customWidth="1"/>
    <col min="2" max="2" width="20.1328125" customWidth="1"/>
    <col min="3" max="32" width="5.73046875" customWidth="1"/>
    <col min="33" max="33" width="4.3984375" customWidth="1"/>
  </cols>
  <sheetData>
    <row r="41" spans="2:32">
      <c r="C41" s="57">
        <f>'Weekly Report'!C15</f>
        <v>45524</v>
      </c>
      <c r="D41" s="57">
        <f>'Weekly Report'!D15</f>
        <v>45531</v>
      </c>
      <c r="E41" s="57">
        <f>'Weekly Report'!E15</f>
        <v>45538</v>
      </c>
      <c r="F41" s="57">
        <f>'Weekly Report'!F15</f>
        <v>45545</v>
      </c>
      <c r="G41" s="57">
        <f>'Weekly Report'!G15</f>
        <v>45552</v>
      </c>
      <c r="H41" s="57">
        <f>'Weekly Report'!H15</f>
        <v>45559</v>
      </c>
      <c r="I41" s="57">
        <f>'Weekly Report'!I15</f>
        <v>45566</v>
      </c>
      <c r="J41" s="57">
        <f>'Weekly Report'!J15</f>
        <v>45573</v>
      </c>
      <c r="K41" s="57">
        <f>'Weekly Report'!K15</f>
        <v>45580</v>
      </c>
      <c r="L41" s="57">
        <f>'Weekly Report'!L15</f>
        <v>45587</v>
      </c>
      <c r="M41" s="57">
        <f>'Weekly Report'!M15</f>
        <v>45594</v>
      </c>
      <c r="N41" s="57">
        <f>'Weekly Report'!N15</f>
        <v>45601</v>
      </c>
      <c r="O41" s="57">
        <f>'Weekly Report'!O15</f>
        <v>45608</v>
      </c>
      <c r="P41" s="57">
        <f>'Weekly Report'!P15</f>
        <v>45615</v>
      </c>
      <c r="Q41" s="57">
        <f>'Weekly Report'!Q15</f>
        <v>45622</v>
      </c>
      <c r="R41" s="57">
        <f>'Weekly Report'!R15</f>
        <v>45629</v>
      </c>
      <c r="S41" s="57">
        <f>'Weekly Report'!S15</f>
        <v>45636</v>
      </c>
      <c r="T41" s="57">
        <f>'Weekly Report'!T15</f>
        <v>45643</v>
      </c>
      <c r="U41" s="57">
        <f>'Weekly Report'!U15</f>
        <v>45650</v>
      </c>
      <c r="V41" s="57">
        <f>'Weekly Report'!V15</f>
        <v>45657</v>
      </c>
      <c r="W41" s="57">
        <f>'Weekly Report'!W15</f>
        <v>45664</v>
      </c>
      <c r="X41" s="57">
        <f>'Weekly Report'!X15</f>
        <v>45671</v>
      </c>
      <c r="Y41" s="57">
        <f>'Weekly Report'!Y15</f>
        <v>45678</v>
      </c>
      <c r="Z41" s="57">
        <f>'Weekly Report'!Z15</f>
        <v>45685</v>
      </c>
      <c r="AA41" s="57">
        <f>'Weekly Report'!AA15</f>
        <v>45692</v>
      </c>
      <c r="AB41" s="57">
        <f>'Weekly Report'!AB15</f>
        <v>45699</v>
      </c>
      <c r="AC41" s="57">
        <f>'Weekly Report'!AC15</f>
        <v>45706</v>
      </c>
      <c r="AD41" s="57">
        <f>'Weekly Report'!AD15</f>
        <v>45713</v>
      </c>
      <c r="AE41" s="57">
        <f>'Weekly Report'!AE15</f>
        <v>45720</v>
      </c>
      <c r="AF41" s="57">
        <f>'Weekly Report'!AF15</f>
        <v>45727</v>
      </c>
    </row>
    <row r="42" spans="2:32">
      <c r="B42" s="58" t="s">
        <v>77</v>
      </c>
      <c r="C42" s="59">
        <f>'Weekly Report'!C42</f>
        <v>779</v>
      </c>
      <c r="D42" s="59">
        <f>'Weekly Report'!D42</f>
        <v>779</v>
      </c>
      <c r="E42" s="59">
        <f>'Weekly Report'!E42</f>
        <v>779</v>
      </c>
      <c r="F42" s="59">
        <f>'Weekly Report'!F42</f>
        <v>779</v>
      </c>
      <c r="G42" s="59">
        <f>'Weekly Report'!G42</f>
        <v>752</v>
      </c>
      <c r="H42" s="59">
        <f>'Weekly Report'!H42</f>
        <v>542</v>
      </c>
      <c r="I42" s="59">
        <f>'Weekly Report'!I42</f>
        <v>422</v>
      </c>
      <c r="J42" s="59">
        <f>'Weekly Report'!J42</f>
        <v>330</v>
      </c>
      <c r="K42" s="59">
        <f>'Weekly Report'!K42</f>
        <v>241</v>
      </c>
      <c r="L42" s="59">
        <f>'Weekly Report'!L42</f>
        <v>140</v>
      </c>
      <c r="M42" s="59">
        <f>'Weekly Report'!M42</f>
        <v>7</v>
      </c>
      <c r="N42" s="59">
        <f>'Weekly Report'!N42</f>
        <v>-27</v>
      </c>
      <c r="O42" s="59">
        <f>'Weekly Report'!O42</f>
        <v>-27</v>
      </c>
      <c r="P42" s="59">
        <f>'Weekly Report'!P42</f>
        <v>-27</v>
      </c>
      <c r="Q42" s="59">
        <f>'Weekly Report'!Q42</f>
        <v>-27</v>
      </c>
      <c r="R42" s="59">
        <f>'Weekly Report'!R42</f>
        <v>-27</v>
      </c>
      <c r="S42" s="59">
        <f>'Weekly Report'!S42</f>
        <v>-27</v>
      </c>
      <c r="T42" s="59">
        <f>'Weekly Report'!T42</f>
        <v>-27</v>
      </c>
      <c r="U42" s="59">
        <f>'Weekly Report'!U42</f>
        <v>-27</v>
      </c>
      <c r="V42" s="59">
        <f>'Weekly Report'!V42</f>
        <v>-27</v>
      </c>
      <c r="W42" s="59">
        <f>'Weekly Report'!W42</f>
        <v>-27</v>
      </c>
      <c r="X42" s="59">
        <f>'Weekly Report'!X42</f>
        <v>-27</v>
      </c>
      <c r="Y42" s="59">
        <f>'Weekly Report'!Y42</f>
        <v>-27</v>
      </c>
      <c r="Z42" s="59">
        <f>'Weekly Report'!Z42</f>
        <v>-27</v>
      </c>
      <c r="AA42" s="59">
        <f>'Weekly Report'!AA42</f>
        <v>-27</v>
      </c>
      <c r="AB42" s="59">
        <f>'Weekly Report'!AB42</f>
        <v>-27</v>
      </c>
      <c r="AC42" s="59">
        <f>'Weekly Report'!AC42</f>
        <v>-27</v>
      </c>
      <c r="AD42" s="59">
        <f>'Weekly Report'!AD42</f>
        <v>-27</v>
      </c>
      <c r="AE42" s="59">
        <f>'Weekly Report'!AE42</f>
        <v>-27</v>
      </c>
      <c r="AF42" s="59">
        <f>'Weekly Report'!AF42</f>
        <v>-27</v>
      </c>
    </row>
    <row r="43" spans="2:32">
      <c r="B43" s="60" t="s">
        <v>78</v>
      </c>
      <c r="C43" s="59">
        <f>'Weekly Report'!C43</f>
        <v>779</v>
      </c>
      <c r="D43" s="59">
        <f>'Weekly Report'!D43</f>
        <v>779</v>
      </c>
      <c r="E43" s="59">
        <f>'Weekly Report'!E43</f>
        <v>779</v>
      </c>
      <c r="F43" s="59">
        <f>'Weekly Report'!F43</f>
        <v>779</v>
      </c>
      <c r="G43" s="59">
        <f>'Weekly Report'!G43</f>
        <v>752</v>
      </c>
      <c r="H43" s="59">
        <f>'Weekly Report'!H43</f>
        <v>542</v>
      </c>
      <c r="I43" s="59">
        <f>'Weekly Report'!I43</f>
        <v>422</v>
      </c>
      <c r="J43" s="59">
        <f>'Weekly Report'!J43</f>
        <v>422</v>
      </c>
      <c r="K43" s="59">
        <f>'Weekly Report'!K43</f>
        <v>422</v>
      </c>
      <c r="L43" s="59">
        <f>'Weekly Report'!L43</f>
        <v>422</v>
      </c>
      <c r="M43" s="59">
        <f>'Weekly Report'!M43</f>
        <v>422</v>
      </c>
      <c r="N43" s="59">
        <f>'Weekly Report'!N43</f>
        <v>422</v>
      </c>
      <c r="O43" s="59">
        <f>'Weekly Report'!O43</f>
        <v>422</v>
      </c>
      <c r="P43" s="59">
        <f>'Weekly Report'!P43</f>
        <v>422</v>
      </c>
      <c r="Q43" s="59">
        <f>'Weekly Report'!Q43</f>
        <v>422</v>
      </c>
      <c r="R43" s="59">
        <f>'Weekly Report'!R43</f>
        <v>422</v>
      </c>
      <c r="S43" s="59">
        <f>'Weekly Report'!S43</f>
        <v>422</v>
      </c>
      <c r="T43" s="59">
        <f>'Weekly Report'!T43</f>
        <v>422</v>
      </c>
      <c r="U43" s="59">
        <f>'Weekly Report'!U43</f>
        <v>422</v>
      </c>
      <c r="V43" s="59">
        <f>'Weekly Report'!V43</f>
        <v>422</v>
      </c>
      <c r="W43" s="59">
        <f>'Weekly Report'!W43</f>
        <v>422</v>
      </c>
      <c r="X43" s="59">
        <f>'Weekly Report'!X43</f>
        <v>422</v>
      </c>
      <c r="Y43" s="59">
        <f>'Weekly Report'!Y43</f>
        <v>422</v>
      </c>
      <c r="Z43" s="59">
        <f>'Weekly Report'!Z43</f>
        <v>422</v>
      </c>
      <c r="AA43" s="59">
        <f>'Weekly Report'!AA43</f>
        <v>422</v>
      </c>
      <c r="AB43" s="59">
        <f>'Weekly Report'!AB43</f>
        <v>422</v>
      </c>
      <c r="AC43" s="59">
        <f>'Weekly Report'!AC43</f>
        <v>422</v>
      </c>
      <c r="AD43" s="59">
        <f>'Weekly Report'!AD43</f>
        <v>422</v>
      </c>
      <c r="AE43" s="59">
        <f>'Weekly Report'!AE43</f>
        <v>422</v>
      </c>
      <c r="AF43" s="59">
        <f>'Weekly Report'!AF43</f>
        <v>422</v>
      </c>
    </row>
    <row r="44" spans="2:32" s="7" customFormat="1" ht="12.95" customHeight="1">
      <c r="B44" s="61" t="s">
        <v>79</v>
      </c>
      <c r="C44" s="10">
        <f>'Weekly Report'!C41</f>
        <v>0</v>
      </c>
      <c r="D44" s="10">
        <f>'Weekly Report'!D41</f>
        <v>0</v>
      </c>
      <c r="E44" s="10">
        <f>'Weekly Report'!E41</f>
        <v>0</v>
      </c>
      <c r="F44" s="10">
        <f>'Weekly Report'!F41</f>
        <v>0</v>
      </c>
      <c r="G44" s="10">
        <f>'Weekly Report'!G41</f>
        <v>27</v>
      </c>
      <c r="H44" s="10">
        <f>'Weekly Report'!H41</f>
        <v>237</v>
      </c>
      <c r="I44" s="10">
        <f>'Weekly Report'!I41</f>
        <v>357</v>
      </c>
      <c r="J44" s="10">
        <f>'Weekly Report'!J41</f>
        <v>357</v>
      </c>
      <c r="K44" s="10">
        <f>'Weekly Report'!K41</f>
        <v>357</v>
      </c>
      <c r="L44" s="10">
        <f>'Weekly Report'!L41</f>
        <v>357</v>
      </c>
      <c r="M44" s="10">
        <f>'Weekly Report'!M41</f>
        <v>357</v>
      </c>
      <c r="N44" s="10">
        <f>'Weekly Report'!N41</f>
        <v>357</v>
      </c>
      <c r="O44" s="10">
        <f>'Weekly Report'!O41</f>
        <v>357</v>
      </c>
      <c r="P44" s="10">
        <f>'Weekly Report'!P41</f>
        <v>357</v>
      </c>
      <c r="Q44" s="10">
        <f>'Weekly Report'!Q41</f>
        <v>357</v>
      </c>
      <c r="R44" s="10">
        <f>'Weekly Report'!R41</f>
        <v>357</v>
      </c>
      <c r="S44" s="10">
        <f>'Weekly Report'!S41</f>
        <v>357</v>
      </c>
      <c r="T44" s="10">
        <f>'Weekly Report'!T41</f>
        <v>357</v>
      </c>
      <c r="U44" s="10">
        <f>'Weekly Report'!U41</f>
        <v>357</v>
      </c>
      <c r="V44" s="10">
        <f>'Weekly Report'!V41</f>
        <v>357</v>
      </c>
      <c r="W44" s="10">
        <f>'Weekly Report'!W41</f>
        <v>357</v>
      </c>
      <c r="X44" s="10">
        <f>'Weekly Report'!X41</f>
        <v>357</v>
      </c>
      <c r="Y44" s="10">
        <f>'Weekly Report'!Y41</f>
        <v>357</v>
      </c>
      <c r="Z44" s="10">
        <f>'Weekly Report'!Z41</f>
        <v>357</v>
      </c>
      <c r="AA44" s="10">
        <f>'Weekly Report'!AA41</f>
        <v>357</v>
      </c>
      <c r="AB44" s="10">
        <f>'Weekly Report'!AB41</f>
        <v>357</v>
      </c>
      <c r="AC44" s="10">
        <f>'Weekly Report'!AC41</f>
        <v>357</v>
      </c>
      <c r="AD44" s="10">
        <f>'Weekly Report'!AD41</f>
        <v>357</v>
      </c>
      <c r="AE44" s="10">
        <f>'Weekly Report'!AE41</f>
        <v>357</v>
      </c>
      <c r="AF44" s="10">
        <f>'Weekly Report'!AF41</f>
        <v>357</v>
      </c>
    </row>
    <row r="45" spans="2:32">
      <c r="B45" s="62" t="s">
        <v>80</v>
      </c>
      <c r="C45" s="56">
        <f>IF('Weekly Report'!$K$52=0, 0, CEILING(2.3 * 'Weekly Report'!$I$52 * C44 / 'Weekly Report'!$K$52, 1))</f>
        <v>0</v>
      </c>
      <c r="D45" s="56">
        <f>IF('Weekly Report'!$K$52=0, 0, CEILING(2.3 * 'Weekly Report'!$I$52 * D44 / 'Weekly Report'!$K$52, 1))</f>
        <v>0</v>
      </c>
      <c r="E45" s="56">
        <f>IF('Weekly Report'!$K$52=0, 0, CEILING(2.3 * 'Weekly Report'!$I$52 * E44 / 'Weekly Report'!$K$52, 1))</f>
        <v>0</v>
      </c>
      <c r="F45" s="56">
        <f>IF('Weekly Report'!$K$52=0, 0, CEILING(2.3 * 'Weekly Report'!$I$52 * F44 / 'Weekly Report'!$K$52, 1))</f>
        <v>0</v>
      </c>
      <c r="G45" s="56">
        <f>IF('Weekly Report'!$K$52=0, 0, CEILING(2.3 * 'Weekly Report'!$I$52 * G44 / 'Weekly Report'!$K$52, 1))</f>
        <v>9</v>
      </c>
      <c r="H45" s="56">
        <f>IF('Weekly Report'!$K$52=0, 0, CEILING(2.3 * 'Weekly Report'!$I$52 * H44 / 'Weekly Report'!$K$52, 1))</f>
        <v>72</v>
      </c>
      <c r="I45" s="56">
        <f>IF('Weekly Report'!$K$52=0, 0, CEILING(2.3 * 'Weekly Report'!$I$52 * I44 / 'Weekly Report'!$K$52, 1))</f>
        <v>108</v>
      </c>
      <c r="J45" s="56">
        <f>IF('Weekly Report'!$K$52=0, 0, CEILING(2.3 * 'Weekly Report'!$I$52 * J44 / 'Weekly Report'!$K$52, 1))</f>
        <v>108</v>
      </c>
      <c r="K45" s="56">
        <f>IF('Weekly Report'!$K$52=0, 0, CEILING(2.3 * 'Weekly Report'!$I$52 * K44 / 'Weekly Report'!$K$52, 1))</f>
        <v>108</v>
      </c>
      <c r="L45" s="56">
        <f>IF('Weekly Report'!$K$52=0, 0, CEILING(2.3 * 'Weekly Report'!$I$52 * L44 / 'Weekly Report'!$K$52, 1))</f>
        <v>108</v>
      </c>
      <c r="M45" s="56">
        <f>IF('Weekly Report'!$K$52=0, 0, CEILING(2.3 * 'Weekly Report'!$I$52 * M44 / 'Weekly Report'!$K$52, 1))</f>
        <v>108</v>
      </c>
      <c r="N45" s="56">
        <f>IF('Weekly Report'!$K$52=0, 0, CEILING(2.3 * 'Weekly Report'!$I$52 * N44 / 'Weekly Report'!$K$52, 1))</f>
        <v>108</v>
      </c>
      <c r="O45" s="56">
        <f>IF('Weekly Report'!$K$52=0, 0, CEILING(2.3 * 'Weekly Report'!$I$52 * O44 / 'Weekly Report'!$K$52, 1))</f>
        <v>108</v>
      </c>
      <c r="P45" s="56">
        <f>IF('Weekly Report'!$K$52=0, 0, CEILING(2.3 * 'Weekly Report'!$I$52 * P44 / 'Weekly Report'!$K$52, 1))</f>
        <v>108</v>
      </c>
      <c r="Q45" s="56">
        <f>IF('Weekly Report'!$K$52=0, 0, CEILING(2.3 * 'Weekly Report'!$I$52 * Q44 / 'Weekly Report'!$K$52, 1))</f>
        <v>108</v>
      </c>
      <c r="R45" s="56">
        <f>IF('Weekly Report'!$K$52=0, 0, CEILING(2.3 * 'Weekly Report'!$I$52 * R44 / 'Weekly Report'!$K$52, 1))</f>
        <v>108</v>
      </c>
      <c r="S45" s="56">
        <f>IF('Weekly Report'!$K$52=0, 0, CEILING(2.3 * 'Weekly Report'!$I$52 * S44 / 'Weekly Report'!$K$52, 1))</f>
        <v>108</v>
      </c>
      <c r="T45" s="56">
        <f>IF('Weekly Report'!$K$52=0, 0, CEILING(2.3 * 'Weekly Report'!$I$52 * T44 / 'Weekly Report'!$K$52, 1))</f>
        <v>108</v>
      </c>
      <c r="U45" s="56">
        <f>IF('Weekly Report'!$K$52=0, 0, CEILING(2.3 * 'Weekly Report'!$I$52 * U44 / 'Weekly Report'!$K$52, 1))</f>
        <v>108</v>
      </c>
      <c r="V45" s="56">
        <f>IF('Weekly Report'!$K$52=0, 0, CEILING(2.3 * 'Weekly Report'!$I$52 * V44 / 'Weekly Report'!$K$52, 1))</f>
        <v>108</v>
      </c>
      <c r="W45" s="56">
        <f>IF('Weekly Report'!$K$52=0, 0, CEILING(2.3 * 'Weekly Report'!$I$52 * W44 / 'Weekly Report'!$K$52, 1))</f>
        <v>108</v>
      </c>
      <c r="X45" s="56">
        <f>IF('Weekly Report'!$K$52=0, 0, CEILING(2.3 * 'Weekly Report'!$I$52 * X44 / 'Weekly Report'!$K$52, 1))</f>
        <v>108</v>
      </c>
      <c r="Y45" s="56">
        <f>IF('Weekly Report'!$K$52=0, 0, CEILING(2.3 * 'Weekly Report'!$I$52 * Y44 / 'Weekly Report'!$K$52, 1))</f>
        <v>108</v>
      </c>
      <c r="Z45" s="56">
        <f>IF('Weekly Report'!$K$52=0, 0, CEILING(2.3 * 'Weekly Report'!$I$52 * Z44 / 'Weekly Report'!$K$52, 1))</f>
        <v>108</v>
      </c>
      <c r="AA45" s="56">
        <f>IF('Weekly Report'!$K$52=0, 0, CEILING(2.3 * 'Weekly Report'!$I$52 * AA44 / 'Weekly Report'!$K$52, 1))</f>
        <v>108</v>
      </c>
      <c r="AB45" s="56">
        <f>IF('Weekly Report'!$K$52=0, 0, CEILING(2.3 * 'Weekly Report'!$I$52 * AB44 / 'Weekly Report'!$K$52, 1))</f>
        <v>108</v>
      </c>
      <c r="AC45" s="56">
        <f>IF('Weekly Report'!$K$52=0, 0, CEILING(2.3 * 'Weekly Report'!$I$52 * AC44 / 'Weekly Report'!$K$52, 1))</f>
        <v>108</v>
      </c>
      <c r="AD45" s="56">
        <f>IF('Weekly Report'!$K$52=0, 0, CEILING(2.3 * 'Weekly Report'!$I$52 * AD44 / 'Weekly Report'!$K$52, 1))</f>
        <v>108</v>
      </c>
      <c r="AE45" s="56">
        <f>IF('Weekly Report'!$K$52=0, 0, CEILING(2.3 * 'Weekly Report'!$I$52 * AE44 / 'Weekly Report'!$K$52, 1))</f>
        <v>108</v>
      </c>
      <c r="AF45" s="56">
        <f>IF('Weekly Report'!$K$52=0, 0, CEILING(2.3 * 'Weekly Report'!$I$52 * AF44 / 'Weekly Report'!$K$52, 1))</f>
        <v>108</v>
      </c>
    </row>
    <row r="46" spans="2:32">
      <c r="B46" s="62" t="s">
        <v>81</v>
      </c>
      <c r="C46" s="56">
        <f>'Weekly Report'!C46</f>
        <v>0</v>
      </c>
      <c r="D46" s="56">
        <f>'Weekly Report'!D46</f>
        <v>0</v>
      </c>
      <c r="E46" s="56">
        <f>'Weekly Report'!E46</f>
        <v>0</v>
      </c>
      <c r="F46" s="56">
        <f>'Weekly Report'!F46</f>
        <v>0</v>
      </c>
      <c r="G46" s="56">
        <f>'Weekly Report'!G46</f>
        <v>5</v>
      </c>
      <c r="H46" s="56">
        <f>'Weekly Report'!H46</f>
        <v>38</v>
      </c>
      <c r="I46" s="56">
        <f>'Weekly Report'!I46</f>
        <v>47</v>
      </c>
      <c r="J46" s="56">
        <f>'Weekly Report'!J46</f>
        <v>47</v>
      </c>
      <c r="K46" s="56">
        <f>'Weekly Report'!K46</f>
        <v>47</v>
      </c>
      <c r="L46" s="56">
        <f>'Weekly Report'!L46</f>
        <v>47</v>
      </c>
      <c r="M46" s="56">
        <f>'Weekly Report'!M46</f>
        <v>47</v>
      </c>
      <c r="N46" s="56">
        <f>'Weekly Report'!N46</f>
        <v>47</v>
      </c>
      <c r="O46" s="56">
        <f>'Weekly Report'!O46</f>
        <v>47</v>
      </c>
      <c r="P46" s="56">
        <f>'Weekly Report'!P46</f>
        <v>47</v>
      </c>
      <c r="Q46" s="56">
        <f>'Weekly Report'!Q46</f>
        <v>47</v>
      </c>
      <c r="R46" s="56">
        <f>'Weekly Report'!R46</f>
        <v>47</v>
      </c>
      <c r="S46" s="56">
        <f>'Weekly Report'!S46</f>
        <v>47</v>
      </c>
      <c r="T46" s="56">
        <f>'Weekly Report'!T46</f>
        <v>47</v>
      </c>
      <c r="U46" s="56">
        <f>'Weekly Report'!U46</f>
        <v>47</v>
      </c>
      <c r="V46" s="56">
        <f>'Weekly Report'!V46</f>
        <v>47</v>
      </c>
      <c r="W46" s="56">
        <f>'Weekly Report'!W46</f>
        <v>47</v>
      </c>
      <c r="X46" s="56">
        <f>'Weekly Report'!X46</f>
        <v>47</v>
      </c>
      <c r="Y46" s="56">
        <f>'Weekly Report'!Y46</f>
        <v>47</v>
      </c>
      <c r="Z46" s="56">
        <f>'Weekly Report'!Z46</f>
        <v>47</v>
      </c>
      <c r="AA46" s="56">
        <f>'Weekly Report'!AA46</f>
        <v>47</v>
      </c>
      <c r="AB46" s="56">
        <f>'Weekly Report'!AB46</f>
        <v>47</v>
      </c>
      <c r="AC46" s="56">
        <f>'Weekly Report'!AC46</f>
        <v>47</v>
      </c>
      <c r="AD46" s="56">
        <f>'Weekly Report'!AD46</f>
        <v>47</v>
      </c>
      <c r="AE46" s="56">
        <f>'Weekly Report'!AE46</f>
        <v>47</v>
      </c>
      <c r="AF46" s="56">
        <f>'Weekly Report'!AF46</f>
        <v>47</v>
      </c>
    </row>
    <row r="47" spans="2:32">
      <c r="B47" s="62" t="s">
        <v>82</v>
      </c>
      <c r="C47" s="56">
        <f>'Weekly Report'!C47</f>
        <v>0</v>
      </c>
      <c r="D47" s="56">
        <f>'Weekly Report'!D47</f>
        <v>0</v>
      </c>
      <c r="E47" s="56">
        <f>'Weekly Report'!E47</f>
        <v>0</v>
      </c>
      <c r="F47" s="56">
        <f>'Weekly Report'!F47</f>
        <v>0</v>
      </c>
      <c r="G47" s="56">
        <f>'Weekly Report'!G47</f>
        <v>5</v>
      </c>
      <c r="H47" s="56">
        <f>'Weekly Report'!H47</f>
        <v>38</v>
      </c>
      <c r="I47" s="56">
        <f>'Weekly Report'!I47</f>
        <v>47</v>
      </c>
      <c r="J47" s="56">
        <f>'Weekly Report'!J47</f>
        <v>47</v>
      </c>
      <c r="K47" s="56">
        <f>'Weekly Report'!K47</f>
        <v>47</v>
      </c>
      <c r="L47" s="56">
        <f>'Weekly Report'!L47</f>
        <v>47</v>
      </c>
      <c r="M47" s="56">
        <f>'Weekly Report'!M47</f>
        <v>47</v>
      </c>
      <c r="N47" s="56">
        <f>'Weekly Report'!N47</f>
        <v>47</v>
      </c>
      <c r="O47" s="56">
        <f>'Weekly Report'!O47</f>
        <v>47</v>
      </c>
      <c r="P47" s="56">
        <f>'Weekly Report'!P47</f>
        <v>47</v>
      </c>
      <c r="Q47" s="56">
        <f>'Weekly Report'!Q47</f>
        <v>47</v>
      </c>
      <c r="R47" s="56">
        <f>'Weekly Report'!R47</f>
        <v>47</v>
      </c>
      <c r="S47" s="56">
        <f>'Weekly Report'!S47</f>
        <v>47</v>
      </c>
      <c r="T47" s="56">
        <f>'Weekly Report'!T47</f>
        <v>47</v>
      </c>
      <c r="U47" s="56">
        <f>'Weekly Report'!U47</f>
        <v>47</v>
      </c>
      <c r="V47" s="56">
        <f>'Weekly Report'!V47</f>
        <v>47</v>
      </c>
      <c r="W47" s="56">
        <f>'Weekly Report'!W47</f>
        <v>47</v>
      </c>
      <c r="X47" s="56">
        <f>'Weekly Report'!X47</f>
        <v>47</v>
      </c>
      <c r="Y47" s="56">
        <f>'Weekly Report'!Y47</f>
        <v>47</v>
      </c>
      <c r="Z47" s="56">
        <f>'Weekly Report'!Z47</f>
        <v>47</v>
      </c>
      <c r="AA47" s="56">
        <f>'Weekly Report'!AA47</f>
        <v>47</v>
      </c>
      <c r="AB47" s="56">
        <f>'Weekly Report'!AB47</f>
        <v>47</v>
      </c>
      <c r="AC47" s="56">
        <f>'Weekly Report'!AC47</f>
        <v>47</v>
      </c>
      <c r="AD47" s="56">
        <f>'Weekly Report'!AD47</f>
        <v>47</v>
      </c>
      <c r="AE47" s="56">
        <f>'Weekly Report'!AE47</f>
        <v>47</v>
      </c>
      <c r="AF47" s="56">
        <f>'Weekly Report'!AF47</f>
        <v>47</v>
      </c>
    </row>
  </sheetData>
  <phoneticPr fontId="10"/>
  <printOptions horizontalCentered="1"/>
  <pageMargins left="0.15748031496062992" right="0.15748031496062992" top="0.39370078740157483" bottom="0.39370078740157483" header="0.51181102362204722" footer="0.51181102362204722"/>
  <pageSetup paperSize="9" scale="72" orientation="landscape" r:id="rId1"/>
  <headerFooter alignWithMargins="0">
    <oddHeader>&amp;L&amp;"Calibri"&amp;13&amp;K000000 •• PROTECTED&amp;1#_x000D_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CZ409"/>
  <sheetViews>
    <sheetView showGridLines="0" view="pageBreakPreview" zoomScaleNormal="100" zoomScaleSheetLayoutView="100" workbookViewId="0"/>
  </sheetViews>
  <sheetFormatPr defaultColWidth="1.3984375" defaultRowHeight="12.75"/>
  <cols>
    <col min="1" max="1" width="0.73046875" style="103" customWidth="1"/>
    <col min="2" max="99" width="1.3984375" style="103" customWidth="1"/>
    <col min="100" max="100" width="1.265625" style="103" customWidth="1"/>
    <col min="101" max="16384" width="1.3984375" style="103"/>
  </cols>
  <sheetData>
    <row r="1" spans="2:102" ht="13.15">
      <c r="B1" s="309" t="s">
        <v>83</v>
      </c>
      <c r="C1" s="309"/>
      <c r="D1" s="309"/>
      <c r="E1" s="309"/>
      <c r="F1" s="309"/>
      <c r="G1" s="309"/>
      <c r="H1" s="310"/>
      <c r="I1" s="310"/>
      <c r="J1" s="310"/>
      <c r="K1" s="310"/>
      <c r="L1" s="310"/>
      <c r="M1" s="310"/>
      <c r="N1" s="310"/>
      <c r="O1" s="309" t="s">
        <v>84</v>
      </c>
      <c r="P1" s="309"/>
      <c r="Q1" s="309"/>
      <c r="R1" s="309"/>
      <c r="S1" s="309"/>
      <c r="T1" s="309"/>
      <c r="U1" s="309"/>
      <c r="V1" s="309"/>
      <c r="W1" s="309"/>
      <c r="X1" s="309"/>
      <c r="Y1" s="309"/>
      <c r="Z1" s="309"/>
      <c r="AA1" s="309"/>
      <c r="AB1" s="307" t="s">
        <v>85</v>
      </c>
      <c r="AC1" s="307"/>
      <c r="AD1" s="307"/>
      <c r="AE1" s="307"/>
      <c r="AF1" s="307"/>
      <c r="AG1" s="307"/>
      <c r="AH1" s="307"/>
      <c r="AI1" s="307"/>
      <c r="AJ1" s="307"/>
      <c r="AK1" s="307"/>
      <c r="AL1" s="307"/>
      <c r="AM1" s="307"/>
      <c r="AN1" s="307"/>
      <c r="AO1" s="307"/>
      <c r="AP1" s="307"/>
      <c r="AQ1" s="307"/>
      <c r="AR1" s="307"/>
      <c r="AS1" s="307"/>
      <c r="AT1" s="307"/>
      <c r="AU1" s="307"/>
      <c r="AV1" s="307"/>
      <c r="AW1" s="307"/>
      <c r="AX1" s="307"/>
      <c r="AY1" s="307"/>
      <c r="AZ1" s="307"/>
      <c r="BA1" s="307"/>
      <c r="BB1" s="307"/>
      <c r="BC1" s="307"/>
      <c r="BD1" s="307"/>
      <c r="BE1" s="307"/>
      <c r="BF1" s="307"/>
      <c r="BG1" s="307"/>
      <c r="BH1" s="307"/>
      <c r="BI1" s="307"/>
      <c r="BJ1" s="307"/>
      <c r="BK1" s="307"/>
      <c r="BL1" s="307"/>
      <c r="BM1" s="307"/>
      <c r="BN1" s="307"/>
      <c r="BO1" s="307"/>
      <c r="BP1" s="307"/>
      <c r="BQ1" s="307"/>
      <c r="BR1" s="307"/>
      <c r="BS1" s="307"/>
      <c r="BT1" s="307"/>
      <c r="BU1" s="307"/>
      <c r="BV1" s="307"/>
      <c r="BW1" s="307"/>
      <c r="BX1" s="307"/>
      <c r="BY1" s="307"/>
      <c r="BZ1" s="307"/>
      <c r="CA1" s="307"/>
      <c r="CB1" s="307"/>
      <c r="CC1" s="307"/>
      <c r="CD1" s="307"/>
      <c r="CE1" s="307"/>
      <c r="CF1" s="307"/>
      <c r="CG1" s="307"/>
      <c r="CH1" s="307"/>
      <c r="CI1" s="307"/>
      <c r="CJ1" s="307"/>
      <c r="CK1" s="307"/>
      <c r="CL1" s="307"/>
      <c r="CM1" s="307"/>
      <c r="CN1" s="309" t="s">
        <v>86</v>
      </c>
      <c r="CO1" s="309"/>
      <c r="CP1" s="309"/>
      <c r="CQ1" s="309"/>
      <c r="CR1" s="307"/>
      <c r="CS1" s="307"/>
      <c r="CT1" s="307"/>
      <c r="CU1" s="307"/>
      <c r="CV1" s="307"/>
      <c r="CW1" s="307"/>
      <c r="CX1" s="307"/>
    </row>
    <row r="2" spans="2:102">
      <c r="B2" s="309" t="s">
        <v>87</v>
      </c>
      <c r="C2" s="309"/>
      <c r="D2" s="309"/>
      <c r="E2" s="309"/>
      <c r="F2" s="309"/>
      <c r="G2" s="309"/>
      <c r="H2" s="309"/>
      <c r="I2" s="309"/>
      <c r="J2" s="309"/>
      <c r="K2" s="309"/>
      <c r="L2" s="309"/>
      <c r="M2" s="309"/>
      <c r="N2" s="309"/>
      <c r="O2" s="307" t="s">
        <v>88</v>
      </c>
      <c r="P2" s="307"/>
      <c r="Q2" s="307"/>
      <c r="R2" s="307"/>
      <c r="S2" s="307"/>
      <c r="T2" s="307"/>
      <c r="U2" s="307"/>
      <c r="V2" s="307"/>
      <c r="W2" s="307"/>
      <c r="X2" s="307"/>
      <c r="Y2" s="307"/>
      <c r="Z2" s="307"/>
      <c r="AA2" s="307"/>
      <c r="AB2" s="307"/>
      <c r="AC2" s="307"/>
      <c r="AD2" s="307"/>
      <c r="AE2" s="307"/>
      <c r="AF2" s="307"/>
      <c r="AG2" s="307"/>
      <c r="AH2" s="307"/>
      <c r="AI2" s="309" t="s">
        <v>89</v>
      </c>
      <c r="AJ2" s="309"/>
      <c r="AK2" s="309"/>
      <c r="AL2" s="309"/>
      <c r="AM2" s="309"/>
      <c r="AN2" s="309"/>
      <c r="AO2" s="309"/>
      <c r="AP2" s="309"/>
      <c r="AQ2" s="309"/>
      <c r="AR2" s="309"/>
      <c r="AS2" s="309"/>
      <c r="AT2" s="307" t="s">
        <v>90</v>
      </c>
      <c r="AU2" s="307"/>
      <c r="AV2" s="307"/>
      <c r="AW2" s="307"/>
      <c r="AX2" s="307"/>
      <c r="AY2" s="307"/>
      <c r="AZ2" s="307"/>
      <c r="BA2" s="307"/>
      <c r="BB2" s="307"/>
      <c r="BC2" s="307"/>
      <c r="BD2" s="307"/>
      <c r="BE2" s="307"/>
      <c r="BF2" s="307"/>
      <c r="BG2" s="307"/>
      <c r="BH2" s="307"/>
      <c r="BI2" s="307"/>
      <c r="BJ2" s="307"/>
      <c r="BK2" s="307"/>
      <c r="BL2" s="307"/>
      <c r="BM2" s="307"/>
      <c r="BN2" s="307"/>
      <c r="BO2" s="307"/>
      <c r="BP2" s="307"/>
      <c r="BQ2" s="307"/>
      <c r="BR2" s="307"/>
      <c r="BS2" s="307"/>
      <c r="BT2" s="307"/>
      <c r="BU2" s="307"/>
      <c r="BV2" s="307"/>
      <c r="BW2" s="309" t="s">
        <v>91</v>
      </c>
      <c r="BX2" s="309"/>
      <c r="BY2" s="309"/>
      <c r="BZ2" s="309"/>
      <c r="CA2" s="309"/>
      <c r="CB2" s="309"/>
      <c r="CC2" s="308">
        <v>39174</v>
      </c>
      <c r="CD2" s="308"/>
      <c r="CE2" s="308"/>
      <c r="CF2" s="308"/>
      <c r="CG2" s="308"/>
      <c r="CH2" s="308"/>
      <c r="CI2" s="308"/>
      <c r="CJ2" s="308"/>
      <c r="CK2" s="308"/>
      <c r="CL2" s="308"/>
      <c r="CM2" s="308"/>
      <c r="CN2" s="309" t="s">
        <v>92</v>
      </c>
      <c r="CO2" s="309"/>
      <c r="CP2" s="309"/>
      <c r="CQ2" s="309"/>
      <c r="CR2" s="307" t="s">
        <v>93</v>
      </c>
      <c r="CS2" s="307"/>
      <c r="CT2" s="307"/>
      <c r="CU2" s="307"/>
      <c r="CV2" s="307"/>
      <c r="CW2" s="307"/>
      <c r="CX2" s="307"/>
    </row>
    <row r="3" spans="2:102">
      <c r="B3" s="309" t="s">
        <v>94</v>
      </c>
      <c r="C3" s="309"/>
      <c r="D3" s="309"/>
      <c r="E3" s="309"/>
      <c r="F3" s="309"/>
      <c r="G3" s="309"/>
      <c r="H3" s="309"/>
      <c r="I3" s="309"/>
      <c r="J3" s="309"/>
      <c r="K3" s="309"/>
      <c r="L3" s="309"/>
      <c r="M3" s="309"/>
      <c r="N3" s="309"/>
      <c r="O3" s="307" t="s">
        <v>95</v>
      </c>
      <c r="P3" s="307"/>
      <c r="Q3" s="307"/>
      <c r="R3" s="307"/>
      <c r="S3" s="307"/>
      <c r="T3" s="307"/>
      <c r="U3" s="307"/>
      <c r="V3" s="307"/>
      <c r="W3" s="307"/>
      <c r="X3" s="307"/>
      <c r="Y3" s="307"/>
      <c r="Z3" s="307"/>
      <c r="AA3" s="307"/>
      <c r="AB3" s="307"/>
      <c r="AC3" s="307"/>
      <c r="AD3" s="307"/>
      <c r="AE3" s="307"/>
      <c r="AF3" s="307"/>
      <c r="AG3" s="307"/>
      <c r="AH3" s="307"/>
      <c r="AI3" s="309" t="s">
        <v>96</v>
      </c>
      <c r="AJ3" s="309"/>
      <c r="AK3" s="309"/>
      <c r="AL3" s="309"/>
      <c r="AM3" s="309"/>
      <c r="AN3" s="309"/>
      <c r="AO3" s="309"/>
      <c r="AP3" s="309"/>
      <c r="AQ3" s="309"/>
      <c r="AR3" s="309"/>
      <c r="AS3" s="309"/>
      <c r="AT3" s="311" t="s">
        <v>97</v>
      </c>
      <c r="AU3" s="312"/>
      <c r="AV3" s="312"/>
      <c r="AW3" s="312"/>
      <c r="AX3" s="312"/>
      <c r="AY3" s="312"/>
      <c r="AZ3" s="312"/>
      <c r="BA3" s="312"/>
      <c r="BB3" s="312"/>
      <c r="BC3" s="312"/>
      <c r="BD3" s="312"/>
      <c r="BE3" s="312"/>
      <c r="BF3" s="312"/>
      <c r="BG3" s="312"/>
      <c r="BH3" s="312"/>
      <c r="BI3" s="312"/>
      <c r="BJ3" s="312"/>
      <c r="BK3" s="312"/>
      <c r="BL3" s="312"/>
      <c r="BM3" s="312"/>
      <c r="BN3" s="312"/>
      <c r="BO3" s="312"/>
      <c r="BP3" s="312"/>
      <c r="BQ3" s="312"/>
      <c r="BR3" s="312"/>
      <c r="BS3" s="312"/>
      <c r="BT3" s="312"/>
      <c r="BU3" s="312"/>
      <c r="BV3" s="313"/>
      <c r="BW3" s="309" t="s">
        <v>98</v>
      </c>
      <c r="BX3" s="309"/>
      <c r="BY3" s="309"/>
      <c r="BZ3" s="309"/>
      <c r="CA3" s="309"/>
      <c r="CB3" s="309"/>
      <c r="CC3" s="308">
        <v>40060</v>
      </c>
      <c r="CD3" s="308"/>
      <c r="CE3" s="308"/>
      <c r="CF3" s="308"/>
      <c r="CG3" s="308"/>
      <c r="CH3" s="308"/>
      <c r="CI3" s="308"/>
      <c r="CJ3" s="308"/>
      <c r="CK3" s="308"/>
      <c r="CL3" s="308"/>
      <c r="CM3" s="308"/>
      <c r="CN3" s="309" t="s">
        <v>92</v>
      </c>
      <c r="CO3" s="309"/>
      <c r="CP3" s="309"/>
      <c r="CQ3" s="309"/>
      <c r="CR3" s="307" t="s">
        <v>99</v>
      </c>
      <c r="CS3" s="307"/>
      <c r="CT3" s="307"/>
      <c r="CU3" s="307"/>
      <c r="CV3" s="307"/>
      <c r="CW3" s="307"/>
      <c r="CX3" s="307"/>
    </row>
    <row r="4" spans="2:102" ht="5.0999999999999996" customHeight="1"/>
    <row r="5" spans="2:102" ht="15" customHeight="1">
      <c r="B5" s="314" t="s">
        <v>100</v>
      </c>
      <c r="C5" s="315"/>
      <c r="D5" s="315"/>
      <c r="E5" s="315"/>
      <c r="F5" s="315"/>
      <c r="G5" s="315"/>
      <c r="H5" s="315"/>
      <c r="I5" s="315"/>
      <c r="J5" s="315"/>
      <c r="K5" s="315"/>
      <c r="L5" s="315"/>
      <c r="M5" s="315"/>
      <c r="N5" s="315"/>
      <c r="O5" s="315"/>
      <c r="P5" s="315"/>
      <c r="Q5" s="315"/>
      <c r="R5" s="315"/>
      <c r="S5" s="315"/>
      <c r="T5" s="315"/>
      <c r="U5" s="315"/>
      <c r="V5" s="315"/>
      <c r="W5" s="315"/>
      <c r="X5" s="315"/>
      <c r="Y5" s="315"/>
      <c r="Z5" s="315"/>
      <c r="AA5" s="315"/>
      <c r="AB5" s="315"/>
      <c r="AC5" s="315"/>
      <c r="AD5" s="315"/>
      <c r="AE5" s="315"/>
      <c r="AF5" s="315"/>
      <c r="AG5" s="315"/>
      <c r="AH5" s="315"/>
      <c r="AI5" s="315"/>
      <c r="AJ5" s="315"/>
      <c r="AK5" s="315"/>
      <c r="AL5" s="315"/>
      <c r="AM5" s="315"/>
      <c r="AN5" s="315"/>
      <c r="AO5" s="315"/>
      <c r="AP5" s="315"/>
      <c r="AQ5" s="315"/>
      <c r="AR5" s="315"/>
      <c r="AS5" s="315"/>
      <c r="AT5" s="315"/>
      <c r="AU5" s="315"/>
      <c r="AV5" s="315"/>
      <c r="AW5" s="315"/>
      <c r="AX5" s="315"/>
      <c r="AY5" s="315"/>
      <c r="AZ5" s="315"/>
      <c r="BA5" s="315"/>
      <c r="BB5" s="315"/>
      <c r="BC5" s="315"/>
      <c r="BD5" s="315"/>
      <c r="BE5" s="315"/>
      <c r="BF5" s="315"/>
      <c r="BG5" s="315"/>
      <c r="BH5" s="315"/>
      <c r="BI5" s="315"/>
      <c r="BJ5" s="315"/>
      <c r="BK5" s="315"/>
      <c r="BL5" s="315"/>
      <c r="BM5" s="315"/>
      <c r="BN5" s="315"/>
      <c r="BO5" s="315"/>
      <c r="BP5" s="315"/>
      <c r="BQ5" s="315"/>
      <c r="BR5" s="315"/>
      <c r="BS5" s="315"/>
      <c r="BT5" s="315"/>
      <c r="BU5" s="315"/>
      <c r="BV5" s="315"/>
      <c r="BW5" s="315"/>
      <c r="BX5" s="315"/>
      <c r="BY5" s="315"/>
      <c r="BZ5" s="315"/>
      <c r="CA5" s="315"/>
      <c r="CB5" s="315"/>
      <c r="CC5" s="315"/>
      <c r="CD5" s="315"/>
      <c r="CE5" s="315"/>
      <c r="CF5" s="315"/>
      <c r="CG5" s="315"/>
      <c r="CH5" s="315"/>
      <c r="CI5" s="315"/>
      <c r="CJ5" s="315"/>
      <c r="CK5" s="315"/>
      <c r="CL5" s="315"/>
      <c r="CM5" s="315"/>
      <c r="CN5" s="315"/>
      <c r="CO5" s="315"/>
      <c r="CP5" s="315"/>
      <c r="CQ5" s="315"/>
      <c r="CR5" s="315"/>
      <c r="CS5" s="315"/>
      <c r="CT5" s="315"/>
      <c r="CU5" s="315"/>
      <c r="CV5" s="315"/>
      <c r="CW5" s="315"/>
      <c r="CX5" s="316"/>
    </row>
    <row r="6" spans="2:102" ht="11.1" customHeight="1">
      <c r="B6" s="104"/>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6"/>
      <c r="BA6" s="105"/>
      <c r="BB6" s="105"/>
      <c r="BC6" s="105"/>
      <c r="BD6" s="105"/>
      <c r="BE6" s="105"/>
      <c r="BF6" s="105"/>
      <c r="BG6" s="105"/>
      <c r="BH6" s="105"/>
      <c r="BI6" s="105"/>
      <c r="BJ6" s="105"/>
      <c r="BK6" s="105"/>
      <c r="BL6" s="105"/>
      <c r="BM6" s="105"/>
      <c r="BN6" s="105"/>
      <c r="BO6" s="105"/>
      <c r="BP6" s="105"/>
      <c r="BQ6" s="105"/>
      <c r="BR6" s="105"/>
      <c r="BS6" s="105"/>
      <c r="BT6" s="105"/>
      <c r="BU6" s="105"/>
      <c r="BV6" s="105"/>
      <c r="BW6" s="105"/>
      <c r="BX6" s="105"/>
      <c r="BY6" s="105"/>
      <c r="BZ6" s="105"/>
      <c r="CA6" s="105"/>
      <c r="CB6" s="105"/>
      <c r="CC6" s="105"/>
      <c r="CD6" s="105"/>
      <c r="CE6" s="105"/>
      <c r="CF6" s="105"/>
      <c r="CG6" s="105"/>
      <c r="CH6" s="105"/>
      <c r="CI6" s="105"/>
      <c r="CJ6" s="105"/>
      <c r="CK6" s="105"/>
      <c r="CL6" s="105"/>
      <c r="CM6" s="105"/>
      <c r="CN6" s="105"/>
      <c r="CO6" s="105"/>
      <c r="CP6" s="105"/>
      <c r="CQ6" s="105"/>
      <c r="CR6" s="105"/>
      <c r="CS6" s="105"/>
      <c r="CT6" s="105"/>
      <c r="CU6" s="105"/>
      <c r="CV6" s="105"/>
      <c r="CW6" s="105"/>
      <c r="CX6" s="107"/>
    </row>
    <row r="7" spans="2:102" ht="11.1" customHeight="1">
      <c r="B7" s="104"/>
      <c r="C7" s="108" t="s">
        <v>101</v>
      </c>
      <c r="D7" s="109"/>
      <c r="E7" s="110" t="s">
        <v>102</v>
      </c>
      <c r="F7" s="111"/>
      <c r="G7" s="111"/>
      <c r="H7" s="111"/>
      <c r="I7" s="111"/>
      <c r="J7" s="112"/>
      <c r="K7" s="113"/>
      <c r="L7" s="113"/>
      <c r="M7" s="112"/>
      <c r="N7" s="112"/>
      <c r="O7" s="112"/>
      <c r="P7" s="112"/>
      <c r="Q7" s="112"/>
      <c r="R7" s="112"/>
      <c r="S7" s="112"/>
      <c r="T7" s="112"/>
      <c r="U7" s="112"/>
      <c r="V7" s="112"/>
      <c r="W7" s="112"/>
      <c r="X7" s="112"/>
      <c r="Y7" s="112"/>
      <c r="Z7" s="112"/>
      <c r="AA7" s="112"/>
      <c r="AB7" s="112"/>
      <c r="AC7" s="112"/>
      <c r="AD7" s="112"/>
      <c r="AE7" s="112"/>
      <c r="AF7" s="112"/>
      <c r="AG7" s="112"/>
      <c r="AH7" s="112"/>
      <c r="AI7" s="112"/>
      <c r="AJ7" s="112"/>
      <c r="AK7" s="112"/>
      <c r="AL7" s="112"/>
      <c r="AM7" s="112"/>
      <c r="AN7" s="112"/>
      <c r="AO7" s="112"/>
      <c r="AP7" s="112"/>
      <c r="AQ7" s="112"/>
      <c r="AR7" s="112"/>
      <c r="AS7" s="112"/>
      <c r="AT7" s="112"/>
      <c r="AU7" s="112"/>
      <c r="AV7" s="112"/>
      <c r="AW7" s="112"/>
      <c r="AX7" s="112"/>
      <c r="AY7" s="114"/>
      <c r="BA7" s="114"/>
      <c r="BB7" s="115"/>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c r="CB7" s="116"/>
      <c r="CC7" s="116"/>
      <c r="CD7" s="116"/>
      <c r="CE7" s="116"/>
      <c r="CF7" s="116"/>
      <c r="CG7" s="116"/>
      <c r="CH7" s="116"/>
      <c r="CI7" s="116"/>
      <c r="CJ7" s="116"/>
      <c r="CK7" s="116"/>
      <c r="CL7" s="116"/>
      <c r="CM7" s="116"/>
      <c r="CN7" s="116"/>
      <c r="CO7" s="116"/>
      <c r="CP7" s="116"/>
      <c r="CQ7" s="116"/>
      <c r="CR7" s="116"/>
      <c r="CS7" s="116"/>
      <c r="CT7" s="116"/>
      <c r="CU7" s="116"/>
      <c r="CV7" s="116"/>
      <c r="CW7" s="116"/>
      <c r="CX7" s="107"/>
    </row>
    <row r="8" spans="2:102" ht="11.1" customHeight="1">
      <c r="B8" s="104"/>
      <c r="C8" s="117"/>
      <c r="D8" s="117"/>
      <c r="E8" s="117"/>
      <c r="F8" s="117"/>
      <c r="G8" s="117"/>
      <c r="H8" s="117"/>
      <c r="I8" s="117"/>
      <c r="J8" s="117"/>
      <c r="K8" s="117"/>
      <c r="L8" s="117"/>
      <c r="M8" s="117"/>
      <c r="N8" s="117"/>
      <c r="O8" s="117"/>
      <c r="P8" s="117"/>
      <c r="Q8" s="117"/>
      <c r="R8" s="117"/>
      <c r="S8" s="117"/>
      <c r="T8" s="117"/>
      <c r="U8" s="117"/>
      <c r="V8" s="117"/>
      <c r="W8" s="117"/>
      <c r="X8" s="117"/>
      <c r="Y8" s="117"/>
      <c r="Z8" s="117"/>
      <c r="AA8" s="117"/>
      <c r="AB8" s="117"/>
      <c r="AC8" s="117"/>
      <c r="AD8" s="117"/>
      <c r="AE8" s="117"/>
      <c r="AF8" s="117"/>
      <c r="AG8" s="117"/>
      <c r="AH8" s="117"/>
      <c r="AI8" s="117"/>
      <c r="AJ8" s="117"/>
      <c r="AK8" s="117"/>
      <c r="AL8" s="117"/>
      <c r="AM8" s="117"/>
      <c r="AN8" s="117"/>
      <c r="AO8" s="118"/>
      <c r="AP8" s="118"/>
      <c r="AQ8" s="118"/>
      <c r="AR8" s="118"/>
      <c r="AS8" s="118"/>
      <c r="AT8" s="118"/>
      <c r="AU8" s="118"/>
      <c r="AV8" s="118"/>
      <c r="AW8" s="118"/>
      <c r="AX8" s="118"/>
      <c r="AY8" s="114"/>
      <c r="BA8" s="114"/>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07"/>
    </row>
    <row r="9" spans="2:102" ht="11.1" customHeight="1">
      <c r="B9" s="104"/>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4"/>
      <c r="AI9" s="114"/>
      <c r="AJ9" s="114"/>
      <c r="AK9" s="114"/>
      <c r="AL9" s="114"/>
      <c r="AM9" s="114"/>
      <c r="AN9" s="114"/>
      <c r="AO9" s="114"/>
      <c r="AP9" s="114"/>
      <c r="AQ9" s="114"/>
      <c r="AR9" s="114"/>
      <c r="AS9" s="114"/>
      <c r="AT9" s="114"/>
      <c r="AU9" s="114"/>
      <c r="AV9" s="114"/>
      <c r="AW9" s="114"/>
      <c r="AX9" s="114"/>
      <c r="AY9" s="114"/>
      <c r="BA9" s="114"/>
      <c r="BB9" s="117"/>
      <c r="BC9" s="117"/>
      <c r="BD9" s="117"/>
      <c r="BE9" s="117"/>
      <c r="BF9" s="117"/>
      <c r="BG9" s="117"/>
      <c r="BH9" s="117"/>
      <c r="BI9" s="117"/>
      <c r="BJ9" s="117"/>
      <c r="BK9" s="117"/>
      <c r="BL9" s="117"/>
      <c r="BM9" s="117"/>
      <c r="BN9" s="117"/>
      <c r="BO9" s="117"/>
      <c r="BP9" s="117"/>
      <c r="BQ9" s="117"/>
      <c r="BR9" s="117"/>
      <c r="BS9" s="117"/>
      <c r="BT9" s="117"/>
      <c r="BU9" s="117"/>
      <c r="BV9" s="117"/>
      <c r="BW9" s="117"/>
      <c r="BX9" s="117"/>
      <c r="BY9" s="117"/>
      <c r="BZ9" s="117"/>
      <c r="CA9" s="117"/>
      <c r="CB9" s="117"/>
      <c r="CC9" s="117"/>
      <c r="CD9" s="117"/>
      <c r="CE9" s="117"/>
      <c r="CF9" s="117"/>
      <c r="CG9" s="117"/>
      <c r="CH9" s="117"/>
      <c r="CI9" s="117"/>
      <c r="CJ9" s="117"/>
      <c r="CK9" s="117"/>
      <c r="CL9" s="117"/>
      <c r="CM9" s="117"/>
      <c r="CN9" s="117"/>
      <c r="CO9" s="117"/>
      <c r="CP9" s="117"/>
      <c r="CQ9" s="118"/>
      <c r="CR9" s="118"/>
      <c r="CS9" s="118"/>
      <c r="CT9" s="118"/>
      <c r="CU9" s="118"/>
      <c r="CV9" s="118"/>
      <c r="CW9" s="118"/>
      <c r="CX9" s="107"/>
    </row>
    <row r="10" spans="2:102" ht="11.1" customHeight="1">
      <c r="B10" s="104"/>
      <c r="C10" s="119"/>
      <c r="D10" s="119"/>
      <c r="E10" s="119"/>
      <c r="F10" s="119"/>
      <c r="G10" s="119"/>
      <c r="H10" s="119"/>
      <c r="I10" s="119"/>
      <c r="J10" s="119"/>
      <c r="K10" s="120"/>
      <c r="L10" s="120"/>
      <c r="M10" s="119"/>
      <c r="N10" s="119"/>
      <c r="O10" s="119"/>
      <c r="P10" s="119"/>
      <c r="Q10" s="119"/>
      <c r="R10" s="119"/>
      <c r="S10" s="119"/>
      <c r="T10" s="119"/>
      <c r="U10" s="119"/>
      <c r="V10" s="119"/>
      <c r="W10" s="119"/>
      <c r="X10" s="119"/>
      <c r="Y10" s="119"/>
      <c r="Z10" s="119"/>
      <c r="AA10" s="119"/>
      <c r="AB10" s="119"/>
      <c r="AC10" s="119"/>
      <c r="AD10" s="119"/>
      <c r="AE10" s="119"/>
      <c r="AF10" s="119"/>
      <c r="AG10" s="119"/>
      <c r="AH10" s="114"/>
      <c r="AI10" s="114"/>
      <c r="AJ10" s="114"/>
      <c r="AK10" s="114"/>
      <c r="AL10" s="114"/>
      <c r="AM10" s="114"/>
      <c r="AN10" s="114"/>
      <c r="AO10" s="114"/>
      <c r="AP10" s="114"/>
      <c r="AQ10" s="114"/>
      <c r="AR10" s="114"/>
      <c r="AS10" s="114"/>
      <c r="AT10" s="114"/>
      <c r="AU10" s="114"/>
      <c r="AV10" s="114"/>
      <c r="AW10" s="114"/>
      <c r="AX10" s="114"/>
      <c r="AY10" s="114"/>
      <c r="BA10" s="114"/>
      <c r="BB10" s="119"/>
      <c r="BC10" s="119"/>
      <c r="BD10" s="119"/>
      <c r="BE10" s="119"/>
      <c r="BF10" s="119"/>
      <c r="BG10" s="119"/>
      <c r="BH10" s="119"/>
      <c r="BI10" s="119"/>
      <c r="BJ10" s="119"/>
      <c r="BK10" s="119"/>
      <c r="BL10" s="119"/>
      <c r="BM10" s="119"/>
      <c r="BN10" s="119"/>
      <c r="BO10" s="119"/>
      <c r="BP10" s="119"/>
      <c r="BQ10" s="119"/>
      <c r="BR10" s="119"/>
      <c r="BS10" s="119"/>
      <c r="BT10" s="119"/>
      <c r="BU10" s="119"/>
      <c r="BV10" s="119"/>
      <c r="BW10" s="119"/>
      <c r="BX10" s="119"/>
      <c r="BY10" s="119"/>
      <c r="BZ10" s="119"/>
      <c r="CA10" s="119"/>
      <c r="CB10" s="119"/>
      <c r="CC10" s="119"/>
      <c r="CD10" s="119"/>
      <c r="CE10" s="119"/>
      <c r="CF10" s="119"/>
      <c r="CG10" s="114"/>
      <c r="CH10" s="114"/>
      <c r="CI10" s="114"/>
      <c r="CJ10" s="114"/>
      <c r="CK10" s="114"/>
      <c r="CL10" s="114"/>
      <c r="CM10" s="114"/>
      <c r="CN10" s="114"/>
      <c r="CO10" s="114"/>
      <c r="CP10" s="114"/>
      <c r="CQ10" s="114"/>
      <c r="CR10" s="114"/>
      <c r="CS10" s="114"/>
      <c r="CT10" s="114"/>
      <c r="CU10" s="114"/>
      <c r="CV10" s="114"/>
      <c r="CW10" s="114"/>
      <c r="CX10" s="107"/>
    </row>
    <row r="11" spans="2:102" ht="11.1" customHeight="1">
      <c r="B11" s="104"/>
      <c r="C11" s="119"/>
      <c r="D11" s="119"/>
      <c r="E11" s="119"/>
      <c r="F11" s="119"/>
      <c r="G11" s="119"/>
      <c r="H11" s="119"/>
      <c r="I11" s="119"/>
      <c r="J11" s="119"/>
      <c r="K11" s="119"/>
      <c r="L11" s="121"/>
      <c r="M11" s="119"/>
      <c r="N11" s="119"/>
      <c r="O11" s="119"/>
      <c r="P11" s="119"/>
      <c r="Q11" s="119"/>
      <c r="R11" s="119"/>
      <c r="S11" s="119"/>
      <c r="T11" s="119"/>
      <c r="U11" s="119"/>
      <c r="V11" s="119"/>
      <c r="W11" s="119"/>
      <c r="X11" s="119"/>
      <c r="Y11" s="119"/>
      <c r="Z11" s="119"/>
      <c r="AA11" s="119"/>
      <c r="AB11" s="119"/>
      <c r="AC11" s="119"/>
      <c r="AD11" s="119"/>
      <c r="AE11" s="119"/>
      <c r="AF11" s="119"/>
      <c r="AG11" s="119"/>
      <c r="AH11" s="114"/>
      <c r="AI11" s="114"/>
      <c r="AJ11" s="114"/>
      <c r="AK11" s="114"/>
      <c r="AL11" s="114"/>
      <c r="AM11" s="114"/>
      <c r="AN11" s="114"/>
      <c r="AO11" s="114"/>
      <c r="AP11" s="114"/>
      <c r="AQ11" s="114"/>
      <c r="AR11" s="114"/>
      <c r="AS11" s="114"/>
      <c r="AT11" s="114"/>
      <c r="AU11" s="114"/>
      <c r="AV11" s="114"/>
      <c r="AW11" s="114"/>
      <c r="AX11" s="114"/>
      <c r="AY11" s="114"/>
      <c r="BA11" s="114"/>
      <c r="BB11" s="119"/>
      <c r="BC11" s="119"/>
      <c r="BD11" s="119"/>
      <c r="BE11" s="119"/>
      <c r="BF11" s="119"/>
      <c r="BG11" s="119"/>
      <c r="BH11" s="119"/>
      <c r="BI11" s="119"/>
      <c r="BJ11" s="119"/>
      <c r="BK11" s="119"/>
      <c r="BL11" s="119"/>
      <c r="BM11" s="119"/>
      <c r="BN11" s="119"/>
      <c r="BO11" s="119"/>
      <c r="BP11" s="119"/>
      <c r="BQ11" s="119"/>
      <c r="BR11" s="119"/>
      <c r="BS11" s="119"/>
      <c r="BT11" s="119"/>
      <c r="BU11" s="119"/>
      <c r="BV11" s="119"/>
      <c r="BW11" s="119"/>
      <c r="BX11" s="119"/>
      <c r="BY11" s="119"/>
      <c r="BZ11" s="119"/>
      <c r="CA11" s="119"/>
      <c r="CB11" s="119"/>
      <c r="CC11" s="119"/>
      <c r="CD11" s="119"/>
      <c r="CE11" s="119"/>
      <c r="CF11" s="119"/>
      <c r="CG11" s="114"/>
      <c r="CH11" s="114"/>
      <c r="CI11" s="114"/>
      <c r="CJ11" s="114"/>
      <c r="CK11" s="114"/>
      <c r="CL11" s="114"/>
      <c r="CM11" s="114"/>
      <c r="CN11" s="114"/>
      <c r="CO11" s="114"/>
      <c r="CP11" s="114"/>
      <c r="CQ11" s="114"/>
      <c r="CR11" s="114"/>
      <c r="CS11" s="114"/>
      <c r="CT11" s="114"/>
      <c r="CU11" s="114"/>
      <c r="CV11" s="114"/>
      <c r="CW11" s="114"/>
      <c r="CX11" s="107"/>
    </row>
    <row r="12" spans="2:102" ht="11.1" customHeight="1">
      <c r="B12" s="104"/>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c r="AE12" s="119"/>
      <c r="AF12" s="119"/>
      <c r="AG12" s="119"/>
      <c r="AH12" s="114"/>
      <c r="AI12" s="114"/>
      <c r="AJ12" s="114"/>
      <c r="AK12" s="114"/>
      <c r="AL12" s="114"/>
      <c r="AM12" s="114"/>
      <c r="AN12" s="114"/>
      <c r="AO12" s="114"/>
      <c r="AP12" s="114"/>
      <c r="AQ12" s="114"/>
      <c r="AR12" s="114"/>
      <c r="AS12" s="114"/>
      <c r="AT12" s="114"/>
      <c r="AU12" s="114"/>
      <c r="AV12" s="114"/>
      <c r="AW12" s="114"/>
      <c r="AX12" s="114"/>
      <c r="AY12" s="114"/>
      <c r="BA12" s="114"/>
      <c r="BB12" s="119"/>
      <c r="BC12" s="119"/>
      <c r="BD12" s="119"/>
      <c r="BE12" s="119"/>
      <c r="BF12" s="119"/>
      <c r="BG12" s="119"/>
      <c r="BH12" s="119"/>
      <c r="BI12" s="119"/>
      <c r="BJ12" s="120"/>
      <c r="BK12" s="120"/>
      <c r="BL12" s="119"/>
      <c r="BM12" s="119"/>
      <c r="BN12" s="119"/>
      <c r="BO12" s="119"/>
      <c r="BP12" s="119"/>
      <c r="BQ12" s="119"/>
      <c r="BR12" s="119"/>
      <c r="BS12" s="119"/>
      <c r="BT12" s="119"/>
      <c r="BU12" s="119"/>
      <c r="BV12" s="119"/>
      <c r="BW12" s="119"/>
      <c r="BX12" s="119"/>
      <c r="BY12" s="119"/>
      <c r="BZ12" s="119"/>
      <c r="CA12" s="119"/>
      <c r="CB12" s="119"/>
      <c r="CC12" s="119"/>
      <c r="CD12" s="119"/>
      <c r="CE12" s="119"/>
      <c r="CF12" s="119"/>
      <c r="CG12" s="114"/>
      <c r="CH12" s="114"/>
      <c r="CI12" s="114"/>
      <c r="CJ12" s="114"/>
      <c r="CK12" s="114"/>
      <c r="CL12" s="114"/>
      <c r="CM12" s="114"/>
      <c r="CN12" s="114"/>
      <c r="CO12" s="114"/>
      <c r="CP12" s="114"/>
      <c r="CQ12" s="114"/>
      <c r="CR12" s="114"/>
      <c r="CS12" s="114"/>
      <c r="CT12" s="114"/>
      <c r="CU12" s="114"/>
      <c r="CV12" s="114"/>
      <c r="CW12" s="114"/>
      <c r="CX12" s="107"/>
    </row>
    <row r="13" spans="2:102" ht="11.1" customHeight="1">
      <c r="B13" s="104"/>
      <c r="C13" s="119"/>
      <c r="D13" s="119"/>
      <c r="E13" s="119"/>
      <c r="F13" s="119"/>
      <c r="G13" s="119"/>
      <c r="H13" s="119"/>
      <c r="I13" s="119"/>
      <c r="J13" s="119"/>
      <c r="K13" s="120"/>
      <c r="L13" s="120"/>
      <c r="M13" s="120"/>
      <c r="N13" s="119"/>
      <c r="O13" s="119"/>
      <c r="P13" s="119"/>
      <c r="Q13" s="119"/>
      <c r="R13" s="119"/>
      <c r="S13" s="119"/>
      <c r="T13" s="119"/>
      <c r="U13" s="119"/>
      <c r="V13" s="119"/>
      <c r="W13" s="119"/>
      <c r="X13" s="119"/>
      <c r="Y13" s="119"/>
      <c r="Z13" s="119"/>
      <c r="AA13" s="119"/>
      <c r="AB13" s="119"/>
      <c r="AC13" s="119"/>
      <c r="AD13" s="119"/>
      <c r="AE13" s="119"/>
      <c r="AF13" s="119"/>
      <c r="AG13" s="119"/>
      <c r="AH13" s="114"/>
      <c r="AI13" s="114"/>
      <c r="AJ13" s="114"/>
      <c r="AK13" s="114"/>
      <c r="AL13" s="114"/>
      <c r="AM13" s="114"/>
      <c r="AN13" s="114"/>
      <c r="AO13" s="114"/>
      <c r="AP13" s="114"/>
      <c r="AQ13" s="114"/>
      <c r="AR13" s="114"/>
      <c r="AS13" s="114"/>
      <c r="AT13" s="114"/>
      <c r="AU13" s="114"/>
      <c r="AV13" s="114"/>
      <c r="AW13" s="114"/>
      <c r="AX13" s="114"/>
      <c r="AY13" s="114"/>
      <c r="BA13" s="114"/>
      <c r="BB13" s="119"/>
      <c r="BC13" s="119"/>
      <c r="BD13" s="119"/>
      <c r="BE13" s="119"/>
      <c r="BF13" s="119"/>
      <c r="BG13" s="119"/>
      <c r="BH13" s="119"/>
      <c r="BI13" s="119"/>
      <c r="BJ13" s="119"/>
      <c r="BK13" s="121"/>
      <c r="BL13" s="119"/>
      <c r="BM13" s="119"/>
      <c r="BN13" s="119"/>
      <c r="BO13" s="119"/>
      <c r="BP13" s="119"/>
      <c r="BQ13" s="119"/>
      <c r="BR13" s="119"/>
      <c r="BS13" s="119"/>
      <c r="BT13" s="119"/>
      <c r="BU13" s="119"/>
      <c r="BV13" s="119"/>
      <c r="BW13" s="119"/>
      <c r="BX13" s="119"/>
      <c r="BY13" s="119"/>
      <c r="BZ13" s="119"/>
      <c r="CA13" s="119"/>
      <c r="CB13" s="119"/>
      <c r="CC13" s="119"/>
      <c r="CD13" s="119"/>
      <c r="CE13" s="119"/>
      <c r="CF13" s="119"/>
      <c r="CG13" s="114"/>
      <c r="CH13" s="114"/>
      <c r="CI13" s="114"/>
      <c r="CJ13" s="114"/>
      <c r="CK13" s="114"/>
      <c r="CL13" s="114"/>
      <c r="CM13" s="114"/>
      <c r="CN13" s="114"/>
      <c r="CO13" s="114"/>
      <c r="CP13" s="114"/>
      <c r="CQ13" s="114"/>
      <c r="CR13" s="114"/>
      <c r="CS13" s="114"/>
      <c r="CT13" s="114"/>
      <c r="CU13" s="114"/>
      <c r="CV13" s="114"/>
      <c r="CW13" s="114"/>
      <c r="CX13" s="107"/>
    </row>
    <row r="14" spans="2:102" ht="11.1" customHeight="1">
      <c r="B14" s="104"/>
      <c r="C14" s="119"/>
      <c r="D14" s="116"/>
      <c r="E14" s="116"/>
      <c r="F14" s="116"/>
      <c r="G14" s="116"/>
      <c r="H14" s="116"/>
      <c r="I14" s="116"/>
      <c r="J14" s="116"/>
      <c r="K14" s="116"/>
      <c r="L14" s="114"/>
      <c r="M14" s="116"/>
      <c r="N14" s="116"/>
      <c r="O14" s="116"/>
      <c r="P14" s="116"/>
      <c r="Q14" s="116"/>
      <c r="R14" s="116"/>
      <c r="S14" s="116"/>
      <c r="T14" s="116"/>
      <c r="U14" s="116"/>
      <c r="V14" s="116"/>
      <c r="W14" s="116"/>
      <c r="X14" s="116"/>
      <c r="Y14" s="116"/>
      <c r="Z14" s="116"/>
      <c r="AA14" s="116"/>
      <c r="AB14" s="116"/>
      <c r="AC14" s="116"/>
      <c r="AD14" s="116"/>
      <c r="AE14" s="116"/>
      <c r="AF14" s="116"/>
      <c r="AG14" s="116"/>
      <c r="AH14" s="114"/>
      <c r="AI14" s="114"/>
      <c r="AJ14" s="114"/>
      <c r="AK14" s="114"/>
      <c r="AL14" s="114"/>
      <c r="AM14" s="114"/>
      <c r="AN14" s="114"/>
      <c r="AO14" s="114"/>
      <c r="AP14" s="114"/>
      <c r="AQ14" s="114"/>
      <c r="AR14" s="114"/>
      <c r="AS14" s="114"/>
      <c r="AT14" s="114"/>
      <c r="AU14" s="114"/>
      <c r="AV14" s="114"/>
      <c r="AW14" s="114"/>
      <c r="AX14" s="114"/>
      <c r="AY14" s="114"/>
      <c r="BA14" s="114"/>
      <c r="BB14" s="119"/>
      <c r="BC14" s="119"/>
      <c r="BD14" s="119"/>
      <c r="BE14" s="119"/>
      <c r="BF14" s="119"/>
      <c r="BG14" s="119"/>
      <c r="BH14" s="119"/>
      <c r="BI14" s="119"/>
      <c r="BJ14" s="119"/>
      <c r="BK14" s="119"/>
      <c r="BL14" s="119"/>
      <c r="BM14" s="119"/>
      <c r="BN14" s="119"/>
      <c r="BO14" s="119"/>
      <c r="BP14" s="119"/>
      <c r="BQ14" s="119"/>
      <c r="BR14" s="119"/>
      <c r="BS14" s="119"/>
      <c r="BT14" s="119"/>
      <c r="BU14" s="119"/>
      <c r="BV14" s="119"/>
      <c r="BW14" s="119"/>
      <c r="BX14" s="119"/>
      <c r="BY14" s="119"/>
      <c r="BZ14" s="119"/>
      <c r="CA14" s="119"/>
      <c r="CB14" s="119"/>
      <c r="CC14" s="119"/>
      <c r="CD14" s="119"/>
      <c r="CE14" s="119"/>
      <c r="CF14" s="119"/>
      <c r="CG14" s="114"/>
      <c r="CH14" s="114"/>
      <c r="CI14" s="114"/>
      <c r="CJ14" s="114"/>
      <c r="CK14" s="114"/>
      <c r="CL14" s="114"/>
      <c r="CM14" s="114"/>
      <c r="CN14" s="114"/>
      <c r="CO14" s="114"/>
      <c r="CP14" s="114"/>
      <c r="CQ14" s="114"/>
      <c r="CR14" s="114"/>
      <c r="CS14" s="114"/>
      <c r="CT14" s="114"/>
      <c r="CU14" s="114"/>
      <c r="CV14" s="114"/>
      <c r="CW14" s="114"/>
      <c r="CX14" s="107"/>
    </row>
    <row r="15" spans="2:102" ht="11.1" customHeight="1">
      <c r="B15" s="104"/>
      <c r="C15" s="119"/>
      <c r="D15" s="116"/>
      <c r="E15" s="116"/>
      <c r="F15" s="116"/>
      <c r="G15" s="116"/>
      <c r="H15" s="116"/>
      <c r="I15" s="116"/>
      <c r="J15" s="116"/>
      <c r="K15" s="116"/>
      <c r="L15" s="114"/>
      <c r="M15" s="116"/>
      <c r="N15" s="116"/>
      <c r="O15" s="116"/>
      <c r="P15" s="116"/>
      <c r="Q15" s="116"/>
      <c r="R15" s="116"/>
      <c r="S15" s="116"/>
      <c r="T15" s="116"/>
      <c r="U15" s="116"/>
      <c r="V15" s="116"/>
      <c r="W15" s="116"/>
      <c r="X15" s="116"/>
      <c r="Y15" s="116"/>
      <c r="Z15" s="116"/>
      <c r="AA15" s="116"/>
      <c r="AB15" s="116"/>
      <c r="AC15" s="116"/>
      <c r="AD15" s="116"/>
      <c r="AE15" s="116"/>
      <c r="AF15" s="116"/>
      <c r="AG15" s="116"/>
      <c r="AH15" s="114"/>
      <c r="AI15" s="114"/>
      <c r="AJ15" s="114"/>
      <c r="AK15" s="114"/>
      <c r="AL15" s="114"/>
      <c r="AM15" s="114"/>
      <c r="AN15" s="114"/>
      <c r="AO15" s="114"/>
      <c r="AP15" s="114"/>
      <c r="AQ15" s="114"/>
      <c r="AR15" s="114"/>
      <c r="AS15" s="114"/>
      <c r="AT15" s="114"/>
      <c r="AU15" s="114"/>
      <c r="AV15" s="114"/>
      <c r="AW15" s="114"/>
      <c r="AX15" s="114"/>
      <c r="AY15" s="114"/>
      <c r="BA15" s="114"/>
      <c r="BB15" s="119"/>
      <c r="BC15" s="119"/>
      <c r="BD15" s="119"/>
      <c r="BE15" s="119"/>
      <c r="BF15" s="119"/>
      <c r="BG15" s="119"/>
      <c r="BH15" s="119"/>
      <c r="BI15" s="119"/>
      <c r="BJ15" s="120"/>
      <c r="BK15" s="120"/>
      <c r="BL15" s="120"/>
      <c r="BM15" s="119"/>
      <c r="BN15" s="119"/>
      <c r="BO15" s="119"/>
      <c r="BP15" s="119"/>
      <c r="BQ15" s="119"/>
      <c r="BR15" s="119"/>
      <c r="BS15" s="119"/>
      <c r="BT15" s="119"/>
      <c r="BU15" s="119"/>
      <c r="BV15" s="119"/>
      <c r="BW15" s="119"/>
      <c r="BX15" s="119"/>
      <c r="BY15" s="119"/>
      <c r="BZ15" s="119"/>
      <c r="CA15" s="119"/>
      <c r="CB15" s="119"/>
      <c r="CC15" s="119"/>
      <c r="CD15" s="119"/>
      <c r="CE15" s="119"/>
      <c r="CF15" s="119"/>
      <c r="CG15" s="114"/>
      <c r="CH15" s="114"/>
      <c r="CI15" s="114"/>
      <c r="CJ15" s="114"/>
      <c r="CK15" s="114"/>
      <c r="CL15" s="114"/>
      <c r="CM15" s="114"/>
      <c r="CN15" s="114"/>
      <c r="CO15" s="114"/>
      <c r="CP15" s="114"/>
      <c r="CQ15" s="114"/>
      <c r="CR15" s="114"/>
      <c r="CS15" s="114"/>
      <c r="CT15" s="114"/>
      <c r="CU15" s="114"/>
      <c r="CV15" s="114"/>
      <c r="CW15" s="114"/>
      <c r="CX15" s="107"/>
    </row>
    <row r="16" spans="2:102" ht="11.1" customHeight="1">
      <c r="B16" s="104"/>
      <c r="C16" s="122"/>
      <c r="D16" s="123"/>
      <c r="E16" s="124"/>
      <c r="F16" s="123"/>
      <c r="G16" s="116"/>
      <c r="H16" s="116"/>
      <c r="I16" s="116"/>
      <c r="J16" s="116"/>
      <c r="K16" s="116"/>
      <c r="L16" s="125"/>
      <c r="M16" s="116"/>
      <c r="N16" s="116"/>
      <c r="O16" s="116"/>
      <c r="P16" s="116"/>
      <c r="Q16" s="116"/>
      <c r="R16" s="116"/>
      <c r="S16" s="116"/>
      <c r="T16" s="116"/>
      <c r="U16" s="116"/>
      <c r="V16" s="116"/>
      <c r="W16" s="116"/>
      <c r="X16" s="116"/>
      <c r="Y16" s="116"/>
      <c r="Z16" s="116"/>
      <c r="AA16" s="116"/>
      <c r="AB16" s="116"/>
      <c r="AC16" s="116"/>
      <c r="AD16" s="116"/>
      <c r="AE16" s="116"/>
      <c r="AF16" s="116"/>
      <c r="AG16" s="116"/>
      <c r="AH16" s="114"/>
      <c r="AI16" s="114"/>
      <c r="AJ16" s="114"/>
      <c r="AK16" s="114"/>
      <c r="AL16" s="114"/>
      <c r="AM16" s="114"/>
      <c r="AN16" s="114"/>
      <c r="AO16" s="114"/>
      <c r="AP16" s="114"/>
      <c r="AQ16" s="114"/>
      <c r="AR16" s="114"/>
      <c r="AS16" s="114"/>
      <c r="AT16" s="114"/>
      <c r="AU16" s="114"/>
      <c r="AV16" s="114"/>
      <c r="AW16" s="114"/>
      <c r="AX16" s="114"/>
      <c r="AY16" s="114"/>
      <c r="BA16" s="114"/>
      <c r="BB16" s="119"/>
      <c r="BC16" s="116"/>
      <c r="BD16" s="116"/>
      <c r="BE16" s="116"/>
      <c r="BF16" s="116"/>
      <c r="BG16" s="116"/>
      <c r="BH16" s="116"/>
      <c r="BI16" s="116"/>
      <c r="BJ16" s="116"/>
      <c r="BK16" s="114"/>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4"/>
      <c r="CH16" s="114"/>
      <c r="CI16" s="114"/>
      <c r="CJ16" s="114"/>
      <c r="CK16" s="114"/>
      <c r="CL16" s="114"/>
      <c r="CM16" s="114"/>
      <c r="CN16" s="114"/>
      <c r="CO16" s="114"/>
      <c r="CP16" s="114"/>
      <c r="CQ16" s="114"/>
      <c r="CR16" s="114"/>
      <c r="CS16" s="114"/>
      <c r="CT16" s="114"/>
      <c r="CU16" s="114"/>
      <c r="CV16" s="114"/>
      <c r="CW16" s="114"/>
      <c r="CX16" s="107"/>
    </row>
    <row r="17" spans="2:102" ht="11.1" customHeight="1">
      <c r="B17" s="104"/>
      <c r="C17" s="123"/>
      <c r="D17" s="123"/>
      <c r="E17" s="123"/>
      <c r="F17" s="123"/>
      <c r="G17" s="116"/>
      <c r="H17" s="116"/>
      <c r="I17" s="116"/>
      <c r="J17" s="116"/>
      <c r="K17" s="116"/>
      <c r="L17" s="116"/>
      <c r="M17" s="116"/>
      <c r="N17" s="116"/>
      <c r="O17" s="116"/>
      <c r="P17" s="126"/>
      <c r="Q17" s="126"/>
      <c r="R17" s="123"/>
      <c r="S17" s="123"/>
      <c r="T17" s="123"/>
      <c r="U17" s="123"/>
      <c r="V17" s="123"/>
      <c r="W17" s="123"/>
      <c r="X17" s="123"/>
      <c r="Y17" s="123"/>
      <c r="Z17" s="123"/>
      <c r="AA17" s="116"/>
      <c r="AB17" s="116"/>
      <c r="AC17" s="116"/>
      <c r="AD17" s="116"/>
      <c r="AE17" s="116"/>
      <c r="AF17" s="116"/>
      <c r="AG17" s="116"/>
      <c r="AH17" s="114"/>
      <c r="AI17" s="114"/>
      <c r="AJ17" s="114"/>
      <c r="AK17" s="114"/>
      <c r="AL17" s="114"/>
      <c r="AM17" s="114"/>
      <c r="AN17" s="114"/>
      <c r="AO17" s="114"/>
      <c r="AP17" s="114"/>
      <c r="AQ17" s="114"/>
      <c r="AR17" s="114"/>
      <c r="AS17" s="114"/>
      <c r="AT17" s="114"/>
      <c r="AU17" s="114"/>
      <c r="AV17" s="114"/>
      <c r="AW17" s="114"/>
      <c r="AX17" s="114"/>
      <c r="AY17" s="114"/>
      <c r="BA17" s="114"/>
      <c r="BB17" s="119"/>
      <c r="BC17" s="116"/>
      <c r="BD17" s="116"/>
      <c r="BE17" s="116"/>
      <c r="BF17" s="116"/>
      <c r="BG17" s="116"/>
      <c r="BH17" s="116"/>
      <c r="BI17" s="116"/>
      <c r="BJ17" s="116"/>
      <c r="BK17" s="114"/>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4"/>
      <c r="CH17" s="114"/>
      <c r="CI17" s="114"/>
      <c r="CJ17" s="114"/>
      <c r="CK17" s="114"/>
      <c r="CL17" s="114"/>
      <c r="CM17" s="114"/>
      <c r="CN17" s="114"/>
      <c r="CO17" s="114"/>
      <c r="CP17" s="114"/>
      <c r="CQ17" s="114"/>
      <c r="CR17" s="114"/>
      <c r="CS17" s="114"/>
      <c r="CT17" s="114"/>
      <c r="CU17" s="114"/>
      <c r="CV17" s="114"/>
      <c r="CW17" s="114"/>
      <c r="CX17" s="107"/>
    </row>
    <row r="18" spans="2:102" ht="11.1" customHeight="1">
      <c r="B18" s="104"/>
      <c r="C18" s="123"/>
      <c r="D18" s="123"/>
      <c r="E18" s="126"/>
      <c r="F18" s="123"/>
      <c r="G18" s="116"/>
      <c r="H18" s="116"/>
      <c r="I18" s="116"/>
      <c r="J18" s="116"/>
      <c r="K18" s="116"/>
      <c r="L18" s="116"/>
      <c r="M18" s="116"/>
      <c r="N18" s="116"/>
      <c r="O18" s="116"/>
      <c r="P18" s="126"/>
      <c r="Q18" s="126"/>
      <c r="R18" s="126"/>
      <c r="S18" s="126"/>
      <c r="T18" s="126"/>
      <c r="U18" s="126"/>
      <c r="V18" s="126"/>
      <c r="W18" s="126"/>
      <c r="X18" s="126"/>
      <c r="Y18" s="126"/>
      <c r="Z18" s="123"/>
      <c r="AA18" s="116"/>
      <c r="AB18" s="116"/>
      <c r="AC18" s="116"/>
      <c r="AD18" s="116"/>
      <c r="AE18" s="116"/>
      <c r="AF18" s="116"/>
      <c r="AG18" s="116"/>
      <c r="AH18" s="114"/>
      <c r="AI18" s="114"/>
      <c r="AJ18" s="114"/>
      <c r="AK18" s="114"/>
      <c r="AL18" s="114"/>
      <c r="AM18" s="114"/>
      <c r="AN18" s="114"/>
      <c r="AO18" s="114"/>
      <c r="AP18" s="114"/>
      <c r="AQ18" s="114"/>
      <c r="AR18" s="114"/>
      <c r="AS18" s="114"/>
      <c r="AT18" s="114"/>
      <c r="AU18" s="114"/>
      <c r="AV18" s="114"/>
      <c r="AW18" s="114"/>
      <c r="AX18" s="114"/>
      <c r="AY18" s="114"/>
      <c r="BA18" s="114"/>
      <c r="BB18" s="119"/>
      <c r="BC18" s="116"/>
      <c r="BD18" s="116"/>
      <c r="BE18" s="116"/>
      <c r="BF18" s="116"/>
      <c r="BG18" s="116"/>
      <c r="BH18" s="116"/>
      <c r="BI18" s="116"/>
      <c r="BJ18" s="116"/>
      <c r="BK18" s="125"/>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4"/>
      <c r="CH18" s="114"/>
      <c r="CI18" s="114"/>
      <c r="CJ18" s="114"/>
      <c r="CK18" s="114"/>
      <c r="CL18" s="114"/>
      <c r="CM18" s="114"/>
      <c r="CN18" s="114"/>
      <c r="CO18" s="114"/>
      <c r="CP18" s="114"/>
      <c r="CQ18" s="114"/>
      <c r="CR18" s="114"/>
      <c r="CS18" s="114"/>
      <c r="CT18" s="114"/>
      <c r="CU18" s="114"/>
      <c r="CV18" s="114"/>
      <c r="CW18" s="114"/>
      <c r="CX18" s="107"/>
    </row>
    <row r="19" spans="2:102" ht="11.1" customHeight="1">
      <c r="B19" s="104"/>
      <c r="C19" s="123"/>
      <c r="D19" s="123"/>
      <c r="E19" s="126"/>
      <c r="F19" s="123"/>
      <c r="G19" s="116"/>
      <c r="H19" s="116"/>
      <c r="I19" s="116"/>
      <c r="J19" s="116"/>
      <c r="K19" s="116"/>
      <c r="L19" s="116"/>
      <c r="M19" s="116"/>
      <c r="N19" s="116"/>
      <c r="O19" s="116"/>
      <c r="P19" s="123"/>
      <c r="Q19" s="123"/>
      <c r="R19" s="123"/>
      <c r="S19" s="123"/>
      <c r="T19" s="123"/>
      <c r="U19" s="123"/>
      <c r="V19" s="123"/>
      <c r="W19" s="123"/>
      <c r="X19" s="123"/>
      <c r="Y19" s="123"/>
      <c r="Z19" s="123"/>
      <c r="AA19" s="116"/>
      <c r="AB19" s="116"/>
      <c r="AC19" s="116"/>
      <c r="AD19" s="116"/>
      <c r="AE19" s="116"/>
      <c r="AF19" s="116"/>
      <c r="AG19" s="116"/>
      <c r="AH19" s="114"/>
      <c r="AI19" s="114"/>
      <c r="AJ19" s="114"/>
      <c r="AK19" s="114"/>
      <c r="AL19" s="114"/>
      <c r="AM19" s="114"/>
      <c r="AN19" s="114"/>
      <c r="AO19" s="114"/>
      <c r="AP19" s="114"/>
      <c r="AQ19" s="114"/>
      <c r="AR19" s="114"/>
      <c r="AS19" s="114"/>
      <c r="AT19" s="114"/>
      <c r="AU19" s="114"/>
      <c r="AV19" s="114"/>
      <c r="AW19" s="114"/>
      <c r="AX19" s="114"/>
      <c r="AY19" s="114"/>
      <c r="BA19" s="114"/>
      <c r="BB19" s="119"/>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4"/>
      <c r="CH19" s="114"/>
      <c r="CI19" s="114"/>
      <c r="CJ19" s="114"/>
      <c r="CK19" s="114"/>
      <c r="CL19" s="114"/>
      <c r="CM19" s="114"/>
      <c r="CN19" s="114"/>
      <c r="CO19" s="114"/>
      <c r="CP19" s="114"/>
      <c r="CQ19" s="114"/>
      <c r="CR19" s="114"/>
      <c r="CS19" s="114"/>
      <c r="CT19" s="114"/>
      <c r="CU19" s="114"/>
      <c r="CV19" s="114"/>
      <c r="CW19" s="114"/>
      <c r="CX19" s="107"/>
    </row>
    <row r="20" spans="2:102" ht="11.1" customHeight="1">
      <c r="B20" s="104"/>
      <c r="C20" s="126"/>
      <c r="D20" s="126"/>
      <c r="E20" s="123"/>
      <c r="F20" s="126"/>
      <c r="G20" s="116"/>
      <c r="H20" s="116"/>
      <c r="I20" s="116"/>
      <c r="J20" s="116"/>
      <c r="K20" s="116"/>
      <c r="L20" s="114"/>
      <c r="M20" s="116"/>
      <c r="N20" s="116"/>
      <c r="O20" s="116"/>
      <c r="P20" s="126"/>
      <c r="Q20" s="126"/>
      <c r="R20" s="123"/>
      <c r="S20" s="123"/>
      <c r="T20" s="123"/>
      <c r="U20" s="123"/>
      <c r="V20" s="123"/>
      <c r="W20" s="123"/>
      <c r="X20" s="123"/>
      <c r="Y20" s="123"/>
      <c r="Z20" s="123"/>
      <c r="AA20" s="116"/>
      <c r="AB20" s="116"/>
      <c r="AC20" s="116"/>
      <c r="AD20" s="116"/>
      <c r="AE20" s="116"/>
      <c r="AF20" s="116"/>
      <c r="AG20" s="116"/>
      <c r="AH20" s="114"/>
      <c r="AI20" s="114"/>
      <c r="AJ20" s="114"/>
      <c r="AK20" s="114"/>
      <c r="AL20" s="114"/>
      <c r="AM20" s="114"/>
      <c r="AN20" s="114"/>
      <c r="AO20" s="114"/>
      <c r="AP20" s="114"/>
      <c r="AQ20" s="114"/>
      <c r="AR20" s="114"/>
      <c r="AS20" s="114"/>
      <c r="AT20" s="114"/>
      <c r="AU20" s="114"/>
      <c r="AV20" s="114"/>
      <c r="AW20" s="114"/>
      <c r="AX20" s="114"/>
      <c r="AY20" s="114"/>
      <c r="BA20" s="114"/>
      <c r="BB20" s="119"/>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4"/>
      <c r="CH20" s="114"/>
      <c r="CI20" s="114"/>
      <c r="CJ20" s="114"/>
      <c r="CK20" s="114"/>
      <c r="CL20" s="114"/>
      <c r="CM20" s="114"/>
      <c r="CN20" s="114"/>
      <c r="CO20" s="114"/>
      <c r="CP20" s="114"/>
      <c r="CQ20" s="114"/>
      <c r="CR20" s="114"/>
      <c r="CS20" s="114"/>
      <c r="CT20" s="114"/>
      <c r="CU20" s="114"/>
      <c r="CV20" s="114"/>
      <c r="CW20" s="114"/>
      <c r="CX20" s="107"/>
    </row>
    <row r="21" spans="2:102" ht="11.1" customHeight="1">
      <c r="B21" s="104"/>
      <c r="C21" s="123"/>
      <c r="D21" s="123"/>
      <c r="E21" s="126"/>
      <c r="F21" s="126"/>
      <c r="G21" s="126"/>
      <c r="H21" s="126"/>
      <c r="I21" s="126"/>
      <c r="J21" s="126"/>
      <c r="K21" s="126"/>
      <c r="L21" s="126"/>
      <c r="M21" s="126"/>
      <c r="N21" s="126"/>
      <c r="O21" s="126"/>
      <c r="P21" s="126"/>
      <c r="Q21" s="123"/>
      <c r="R21" s="123"/>
      <c r="S21" s="123"/>
      <c r="T21" s="123"/>
      <c r="U21" s="123"/>
      <c r="V21" s="123"/>
      <c r="W21" s="123"/>
      <c r="X21" s="123"/>
      <c r="Y21" s="126"/>
      <c r="Z21" s="126"/>
      <c r="AA21" s="116"/>
      <c r="AB21" s="116"/>
      <c r="AC21" s="116"/>
      <c r="AD21" s="116"/>
      <c r="AE21" s="116"/>
      <c r="AF21" s="116"/>
      <c r="AG21" s="116"/>
      <c r="AH21" s="114"/>
      <c r="AI21" s="114"/>
      <c r="AJ21" s="114"/>
      <c r="AK21" s="114"/>
      <c r="AL21" s="114"/>
      <c r="AM21" s="114"/>
      <c r="AN21" s="114"/>
      <c r="AO21" s="114"/>
      <c r="AP21" s="114"/>
      <c r="AQ21" s="114"/>
      <c r="AR21" s="114"/>
      <c r="AS21" s="114"/>
      <c r="AT21" s="114"/>
      <c r="AU21" s="114"/>
      <c r="AV21" s="114"/>
      <c r="AW21" s="114"/>
      <c r="AX21" s="114"/>
      <c r="AY21" s="114"/>
      <c r="BA21" s="114"/>
      <c r="BB21" s="119"/>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4"/>
      <c r="CH21" s="114"/>
      <c r="CI21" s="114"/>
      <c r="CJ21" s="114"/>
      <c r="CK21" s="114"/>
      <c r="CL21" s="114"/>
      <c r="CM21" s="114"/>
      <c r="CN21" s="114"/>
      <c r="CO21" s="114"/>
      <c r="CP21" s="114"/>
      <c r="CQ21" s="114"/>
      <c r="CR21" s="114"/>
      <c r="CS21" s="114"/>
      <c r="CT21" s="114"/>
      <c r="CU21" s="114"/>
      <c r="CV21" s="114"/>
      <c r="CW21" s="114"/>
      <c r="CX21" s="107"/>
    </row>
    <row r="22" spans="2:102" ht="11.1" customHeight="1">
      <c r="B22" s="104"/>
      <c r="C22" s="126"/>
      <c r="D22" s="126"/>
      <c r="E22" s="126"/>
      <c r="F22" s="126"/>
      <c r="G22" s="126"/>
      <c r="H22" s="126"/>
      <c r="I22" s="126"/>
      <c r="J22" s="126"/>
      <c r="K22" s="126"/>
      <c r="L22" s="126"/>
      <c r="M22" s="126"/>
      <c r="N22" s="126"/>
      <c r="O22" s="126"/>
      <c r="P22" s="126"/>
      <c r="Q22" s="123"/>
      <c r="R22" s="123"/>
      <c r="S22" s="123"/>
      <c r="T22" s="123"/>
      <c r="U22" s="123"/>
      <c r="V22" s="123"/>
      <c r="W22" s="123"/>
      <c r="X22" s="123"/>
      <c r="Y22" s="126"/>
      <c r="Z22" s="126"/>
      <c r="AA22" s="116"/>
      <c r="AB22" s="116"/>
      <c r="AC22" s="116"/>
      <c r="AD22" s="116"/>
      <c r="AE22" s="116"/>
      <c r="AF22" s="116"/>
      <c r="AG22" s="116"/>
      <c r="AH22" s="114"/>
      <c r="AI22" s="114"/>
      <c r="AJ22" s="114"/>
      <c r="AK22" s="114"/>
      <c r="AL22" s="114"/>
      <c r="AM22" s="114"/>
      <c r="AN22" s="114"/>
      <c r="AO22" s="114"/>
      <c r="AP22" s="114"/>
      <c r="AQ22" s="114"/>
      <c r="AR22" s="114"/>
      <c r="AS22" s="114"/>
      <c r="AT22" s="114"/>
      <c r="AU22" s="114"/>
      <c r="AV22" s="114"/>
      <c r="AW22" s="114"/>
      <c r="AX22" s="114"/>
      <c r="AY22" s="114"/>
      <c r="BA22" s="114"/>
      <c r="BB22" s="119"/>
      <c r="BC22" s="116"/>
      <c r="BD22" s="116"/>
      <c r="BE22" s="116"/>
      <c r="BF22" s="116"/>
      <c r="BG22" s="116"/>
      <c r="BH22" s="116"/>
      <c r="BI22" s="116"/>
      <c r="BJ22" s="116"/>
      <c r="BK22" s="114"/>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4"/>
      <c r="CH22" s="114"/>
      <c r="CI22" s="114"/>
      <c r="CJ22" s="114"/>
      <c r="CK22" s="114"/>
      <c r="CL22" s="114"/>
      <c r="CM22" s="114"/>
      <c r="CN22" s="114"/>
      <c r="CO22" s="114"/>
      <c r="CP22" s="114"/>
      <c r="CQ22" s="114"/>
      <c r="CR22" s="114"/>
      <c r="CS22" s="114"/>
      <c r="CT22" s="114"/>
      <c r="CU22" s="114"/>
      <c r="CV22" s="114"/>
      <c r="CW22" s="114"/>
      <c r="CX22" s="107"/>
    </row>
    <row r="23" spans="2:102" ht="11.1" customHeight="1">
      <c r="B23" s="104"/>
      <c r="C23" s="116"/>
      <c r="D23" s="116"/>
      <c r="E23" s="126"/>
      <c r="F23" s="126"/>
      <c r="G23" s="126"/>
      <c r="H23" s="126"/>
      <c r="I23" s="126"/>
      <c r="J23" s="126"/>
      <c r="K23" s="126"/>
      <c r="L23" s="126"/>
      <c r="M23" s="126"/>
      <c r="N23" s="126"/>
      <c r="O23" s="126"/>
      <c r="P23" s="126"/>
      <c r="Q23" s="123"/>
      <c r="R23" s="123"/>
      <c r="S23" s="123"/>
      <c r="T23" s="123"/>
      <c r="U23" s="123"/>
      <c r="V23" s="123"/>
      <c r="W23" s="123"/>
      <c r="X23" s="123"/>
      <c r="Y23" s="126"/>
      <c r="Z23" s="126"/>
      <c r="AA23" s="116"/>
      <c r="AB23" s="116"/>
      <c r="AC23" s="116"/>
      <c r="AD23" s="116"/>
      <c r="AE23" s="116"/>
      <c r="AF23" s="116"/>
      <c r="AG23" s="116"/>
      <c r="AH23" s="114"/>
      <c r="AI23" s="114"/>
      <c r="AJ23" s="114"/>
      <c r="AK23" s="114"/>
      <c r="AL23" s="114"/>
      <c r="AM23" s="114"/>
      <c r="AN23" s="114"/>
      <c r="AO23" s="114"/>
      <c r="AP23" s="114"/>
      <c r="AQ23" s="114"/>
      <c r="AR23" s="114"/>
      <c r="AS23" s="114"/>
      <c r="AT23" s="114"/>
      <c r="AU23" s="114"/>
      <c r="AV23" s="114"/>
      <c r="AW23" s="114"/>
      <c r="AX23" s="114"/>
      <c r="AY23" s="114"/>
      <c r="BA23" s="114"/>
      <c r="BB23" s="119"/>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4"/>
      <c r="CH23" s="114"/>
      <c r="CI23" s="114"/>
      <c r="CJ23" s="114"/>
      <c r="CK23" s="114"/>
      <c r="CL23" s="114"/>
      <c r="CM23" s="114"/>
      <c r="CN23" s="114"/>
      <c r="CO23" s="114"/>
      <c r="CP23" s="114"/>
      <c r="CQ23" s="114"/>
      <c r="CR23" s="114"/>
      <c r="CS23" s="114"/>
      <c r="CT23" s="114"/>
      <c r="CU23" s="114"/>
      <c r="CV23" s="114"/>
      <c r="CW23" s="114"/>
      <c r="CX23" s="107"/>
    </row>
    <row r="24" spans="2:102" ht="11.1" customHeight="1">
      <c r="B24" s="104"/>
      <c r="C24" s="119"/>
      <c r="D24" s="116"/>
      <c r="E24" s="126"/>
      <c r="F24" s="126"/>
      <c r="G24" s="126"/>
      <c r="H24" s="126"/>
      <c r="I24" s="126"/>
      <c r="J24" s="126"/>
      <c r="K24" s="126"/>
      <c r="L24" s="126"/>
      <c r="M24" s="126"/>
      <c r="N24" s="126"/>
      <c r="O24" s="126"/>
      <c r="P24" s="126"/>
      <c r="Q24" s="123"/>
      <c r="R24" s="123"/>
      <c r="S24" s="123"/>
      <c r="T24" s="123"/>
      <c r="U24" s="123"/>
      <c r="V24" s="123"/>
      <c r="W24" s="123"/>
      <c r="X24" s="123"/>
      <c r="Y24" s="126"/>
      <c r="Z24" s="126"/>
      <c r="AA24" s="116"/>
      <c r="AB24" s="116"/>
      <c r="AC24" s="116"/>
      <c r="AD24" s="116"/>
      <c r="AE24" s="116"/>
      <c r="AF24" s="116"/>
      <c r="AG24" s="116"/>
      <c r="AH24" s="114"/>
      <c r="AI24" s="114"/>
      <c r="AJ24" s="114"/>
      <c r="AK24" s="114"/>
      <c r="AL24" s="114"/>
      <c r="AM24" s="114"/>
      <c r="AN24" s="114"/>
      <c r="AO24" s="114"/>
      <c r="AP24" s="114"/>
      <c r="AQ24" s="114"/>
      <c r="AR24" s="114"/>
      <c r="AS24" s="114"/>
      <c r="AT24" s="114"/>
      <c r="AU24" s="114"/>
      <c r="AV24" s="114"/>
      <c r="AW24" s="114"/>
      <c r="AX24" s="114"/>
      <c r="AY24" s="114"/>
      <c r="BA24" s="114"/>
      <c r="BB24" s="119"/>
      <c r="BC24" s="116"/>
      <c r="BD24" s="116"/>
      <c r="BE24" s="116"/>
      <c r="BF24" s="116"/>
      <c r="BG24" s="116"/>
      <c r="BH24" s="116"/>
      <c r="BI24" s="116"/>
      <c r="BJ24" s="116"/>
      <c r="BK24" s="125"/>
      <c r="BL24" s="116"/>
      <c r="BM24" s="116"/>
      <c r="BN24" s="116"/>
      <c r="BO24" s="116"/>
      <c r="BP24" s="116"/>
      <c r="BQ24" s="116"/>
      <c r="BR24" s="116"/>
      <c r="BS24" s="116"/>
      <c r="BT24" s="116"/>
      <c r="BU24" s="116"/>
      <c r="BV24" s="116"/>
      <c r="BW24" s="116"/>
      <c r="BX24" s="116"/>
      <c r="BY24" s="116"/>
      <c r="BZ24" s="116"/>
      <c r="CA24" s="116"/>
      <c r="CB24" s="116"/>
      <c r="CC24" s="116"/>
      <c r="CD24" s="116"/>
      <c r="CE24" s="116"/>
      <c r="CF24" s="116"/>
      <c r="CG24" s="114"/>
      <c r="CH24" s="114"/>
      <c r="CI24" s="114"/>
      <c r="CJ24" s="114"/>
      <c r="CK24" s="114"/>
      <c r="CL24" s="114"/>
      <c r="CM24" s="114"/>
      <c r="CN24" s="114"/>
      <c r="CO24" s="114"/>
      <c r="CP24" s="114"/>
      <c r="CQ24" s="114"/>
      <c r="CR24" s="114"/>
      <c r="CS24" s="114"/>
      <c r="CT24" s="114"/>
      <c r="CU24" s="114"/>
      <c r="CV24" s="114"/>
      <c r="CW24" s="114"/>
      <c r="CX24" s="107"/>
    </row>
    <row r="25" spans="2:102" ht="11.1" customHeight="1">
      <c r="B25" s="104"/>
      <c r="C25" s="119"/>
      <c r="D25" s="11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3"/>
      <c r="AO25" s="123"/>
      <c r="AP25" s="123"/>
      <c r="AQ25" s="123"/>
      <c r="AR25" s="123"/>
      <c r="AS25" s="123"/>
      <c r="AT25" s="123"/>
      <c r="AU25" s="123"/>
      <c r="AV25" s="123"/>
      <c r="AW25" s="123"/>
      <c r="AX25" s="123"/>
      <c r="AY25" s="114"/>
      <c r="BA25" s="114"/>
      <c r="BB25" s="119"/>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4"/>
      <c r="CH25" s="114"/>
      <c r="CI25" s="114"/>
      <c r="CJ25" s="114"/>
      <c r="CK25" s="114"/>
      <c r="CL25" s="114"/>
      <c r="CM25" s="114"/>
      <c r="CN25" s="114"/>
      <c r="CO25" s="114"/>
      <c r="CP25" s="114"/>
      <c r="CQ25" s="114"/>
      <c r="CR25" s="114"/>
      <c r="CS25" s="114"/>
      <c r="CT25" s="114"/>
      <c r="CU25" s="114"/>
      <c r="CV25" s="114"/>
      <c r="CW25" s="114"/>
      <c r="CX25" s="107"/>
    </row>
    <row r="26" spans="2:102" ht="11.1" customHeight="1">
      <c r="B26" s="104"/>
      <c r="C26" s="119"/>
      <c r="D26" s="116"/>
      <c r="E26" s="126"/>
      <c r="F26" s="126"/>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3"/>
      <c r="AO26" s="123"/>
      <c r="AP26" s="123"/>
      <c r="AQ26" s="123"/>
      <c r="AR26" s="123"/>
      <c r="AS26" s="123"/>
      <c r="AT26" s="123"/>
      <c r="AU26" s="123"/>
      <c r="AV26" s="123"/>
      <c r="AW26" s="123"/>
      <c r="AX26" s="123"/>
      <c r="AY26" s="114"/>
      <c r="BA26" s="114"/>
      <c r="BB26" s="119"/>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c r="CD26" s="116"/>
      <c r="CE26" s="116"/>
      <c r="CF26" s="116"/>
      <c r="CG26" s="114"/>
      <c r="CH26" s="114"/>
      <c r="CI26" s="114"/>
      <c r="CJ26" s="114"/>
      <c r="CK26" s="114"/>
      <c r="CL26" s="114"/>
      <c r="CM26" s="114"/>
      <c r="CN26" s="114"/>
      <c r="CO26" s="114"/>
      <c r="CP26" s="114"/>
      <c r="CQ26" s="114"/>
      <c r="CR26" s="114"/>
      <c r="CS26" s="114"/>
      <c r="CT26" s="114"/>
      <c r="CU26" s="114"/>
      <c r="CV26" s="114"/>
      <c r="CW26" s="114"/>
      <c r="CX26" s="107"/>
    </row>
    <row r="27" spans="2:102" ht="11.1" customHeight="1">
      <c r="B27" s="104"/>
      <c r="C27" s="119"/>
      <c r="D27" s="116"/>
      <c r="E27" s="126"/>
      <c r="F27" s="126"/>
      <c r="G27" s="126"/>
      <c r="H27" s="126"/>
      <c r="I27" s="126"/>
      <c r="J27" s="126"/>
      <c r="K27" s="126"/>
      <c r="L27" s="126"/>
      <c r="M27" s="126"/>
      <c r="N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3"/>
      <c r="AO27" s="123"/>
      <c r="AP27" s="123"/>
      <c r="AQ27" s="123"/>
      <c r="AR27" s="123"/>
      <c r="AS27" s="123"/>
      <c r="AT27" s="123"/>
      <c r="AU27" s="123"/>
      <c r="AV27" s="123"/>
      <c r="AW27" s="123"/>
      <c r="AX27" s="123"/>
      <c r="AY27" s="114"/>
      <c r="BA27" s="114"/>
      <c r="BB27" s="119"/>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4"/>
      <c r="CH27" s="114"/>
      <c r="CI27" s="114"/>
      <c r="CJ27" s="114"/>
      <c r="CK27" s="114"/>
      <c r="CL27" s="114"/>
      <c r="CM27" s="114"/>
      <c r="CN27" s="114"/>
      <c r="CO27" s="114"/>
      <c r="CP27" s="114"/>
      <c r="CQ27" s="114"/>
      <c r="CR27" s="114"/>
      <c r="CS27" s="114"/>
      <c r="CT27" s="114"/>
      <c r="CU27" s="114"/>
      <c r="CV27" s="114"/>
      <c r="CW27" s="114"/>
      <c r="CX27" s="107"/>
    </row>
    <row r="28" spans="2:102" ht="11.1" customHeight="1">
      <c r="B28" s="104"/>
      <c r="C28" s="119"/>
      <c r="D28" s="11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3"/>
      <c r="AO28" s="123"/>
      <c r="AP28" s="123"/>
      <c r="AQ28" s="123"/>
      <c r="AR28" s="123"/>
      <c r="AS28" s="123"/>
      <c r="AT28" s="123"/>
      <c r="AU28" s="123"/>
      <c r="AV28" s="123"/>
      <c r="AW28" s="123"/>
      <c r="AX28" s="123"/>
      <c r="AY28" s="114"/>
      <c r="BA28" s="114"/>
      <c r="BB28" s="119"/>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6"/>
      <c r="CG28" s="114"/>
      <c r="CH28" s="114"/>
      <c r="CI28" s="114"/>
      <c r="CJ28" s="114"/>
      <c r="CK28" s="114"/>
      <c r="CL28" s="114"/>
      <c r="CM28" s="114"/>
      <c r="CN28" s="114"/>
      <c r="CO28" s="114"/>
      <c r="CP28" s="114"/>
      <c r="CQ28" s="114"/>
      <c r="CR28" s="114"/>
      <c r="CS28" s="114"/>
      <c r="CT28" s="114"/>
      <c r="CU28" s="114"/>
      <c r="CV28" s="114"/>
      <c r="CW28" s="114"/>
      <c r="CX28" s="107"/>
    </row>
    <row r="29" spans="2:102" ht="11.1" customHeight="1">
      <c r="B29" s="104"/>
      <c r="C29" s="119"/>
      <c r="D29" s="11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3"/>
      <c r="AO29" s="123"/>
      <c r="AP29" s="123"/>
      <c r="AQ29" s="123"/>
      <c r="AR29" s="123"/>
      <c r="AS29" s="123"/>
      <c r="AT29" s="123"/>
      <c r="AU29" s="123"/>
      <c r="AV29" s="123"/>
      <c r="AW29" s="123"/>
      <c r="AX29" s="123"/>
      <c r="AY29" s="114"/>
      <c r="BA29" s="114"/>
      <c r="BB29" s="119"/>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c r="CD29" s="116"/>
      <c r="CE29" s="116"/>
      <c r="CF29" s="116"/>
      <c r="CG29" s="114"/>
      <c r="CH29" s="114"/>
      <c r="CI29" s="114"/>
      <c r="CJ29" s="114"/>
      <c r="CK29" s="114"/>
      <c r="CL29" s="114"/>
      <c r="CM29" s="114"/>
      <c r="CN29" s="114"/>
      <c r="CO29" s="114"/>
      <c r="CP29" s="114"/>
      <c r="CQ29" s="114"/>
      <c r="CR29" s="114"/>
      <c r="CS29" s="114"/>
      <c r="CT29" s="114"/>
      <c r="CU29" s="114"/>
      <c r="CV29" s="114"/>
      <c r="CW29" s="114"/>
      <c r="CX29" s="107"/>
    </row>
    <row r="30" spans="2:102" ht="11.1" customHeight="1">
      <c r="B30" s="104"/>
      <c r="C30" s="119"/>
      <c r="D30" s="116"/>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3"/>
      <c r="AO30" s="123"/>
      <c r="AP30" s="123"/>
      <c r="AQ30" s="123"/>
      <c r="AR30" s="123"/>
      <c r="AS30" s="123"/>
      <c r="AT30" s="123"/>
      <c r="AU30" s="123"/>
      <c r="AV30" s="123"/>
      <c r="AW30" s="123"/>
      <c r="AX30" s="123"/>
      <c r="AY30" s="114"/>
      <c r="BA30" s="114"/>
      <c r="BB30" s="119"/>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c r="CD30" s="116"/>
      <c r="CE30" s="116"/>
      <c r="CF30" s="116"/>
      <c r="CG30" s="114"/>
      <c r="CH30" s="114"/>
      <c r="CI30" s="114"/>
      <c r="CJ30" s="114"/>
      <c r="CK30" s="114"/>
      <c r="CL30" s="114"/>
      <c r="CM30" s="114"/>
      <c r="CN30" s="114"/>
      <c r="CO30" s="114"/>
      <c r="CP30" s="114"/>
      <c r="CQ30" s="114"/>
      <c r="CR30" s="114"/>
      <c r="CS30" s="114"/>
      <c r="CT30" s="114"/>
      <c r="CU30" s="114"/>
      <c r="CV30" s="114"/>
      <c r="CW30" s="114"/>
      <c r="CX30" s="107"/>
    </row>
    <row r="31" spans="2:102" ht="11.1" customHeight="1">
      <c r="B31" s="104"/>
      <c r="C31" s="119"/>
      <c r="D31" s="116"/>
      <c r="E31" s="126"/>
      <c r="F31" s="126"/>
      <c r="G31" s="126"/>
      <c r="H31" s="126"/>
      <c r="I31" s="126"/>
      <c r="J31" s="126"/>
      <c r="K31" s="126"/>
      <c r="L31" s="126"/>
      <c r="M31" s="126"/>
      <c r="N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3"/>
      <c r="AO31" s="123"/>
      <c r="AP31" s="123"/>
      <c r="AQ31" s="123"/>
      <c r="AR31" s="123"/>
      <c r="AS31" s="123"/>
      <c r="AT31" s="123"/>
      <c r="AU31" s="123"/>
      <c r="AV31" s="123"/>
      <c r="AW31" s="123"/>
      <c r="AX31" s="123"/>
      <c r="AY31" s="114"/>
      <c r="BA31" s="114"/>
      <c r="BB31" s="119"/>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4"/>
      <c r="CH31" s="114"/>
      <c r="CI31" s="114"/>
      <c r="CJ31" s="114"/>
      <c r="CK31" s="114"/>
      <c r="CL31" s="114"/>
      <c r="CM31" s="114"/>
      <c r="CN31" s="114"/>
      <c r="CO31" s="114"/>
      <c r="CP31" s="114"/>
      <c r="CQ31" s="114"/>
      <c r="CR31" s="114"/>
      <c r="CS31" s="114"/>
      <c r="CT31" s="114"/>
      <c r="CU31" s="114"/>
      <c r="CV31" s="114"/>
      <c r="CW31" s="114"/>
      <c r="CX31" s="107"/>
    </row>
    <row r="32" spans="2:102" ht="11.1" customHeight="1">
      <c r="B32" s="104"/>
      <c r="C32" s="119"/>
      <c r="D32" s="11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3"/>
      <c r="AO32" s="123"/>
      <c r="AP32" s="123"/>
      <c r="AQ32" s="123"/>
      <c r="AR32" s="123"/>
      <c r="AS32" s="123"/>
      <c r="AT32" s="123"/>
      <c r="AU32" s="123"/>
      <c r="AV32" s="123"/>
      <c r="AW32" s="123"/>
      <c r="AX32" s="123"/>
      <c r="AY32" s="114"/>
      <c r="BA32" s="114"/>
      <c r="BB32" s="119"/>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4"/>
      <c r="CH32" s="114"/>
      <c r="CI32" s="114"/>
      <c r="CJ32" s="114"/>
      <c r="CK32" s="114"/>
      <c r="CL32" s="114"/>
      <c r="CM32" s="114"/>
      <c r="CN32" s="114"/>
      <c r="CO32" s="114"/>
      <c r="CP32" s="114"/>
      <c r="CQ32" s="114"/>
      <c r="CR32" s="114"/>
      <c r="CS32" s="114"/>
      <c r="CT32" s="114"/>
      <c r="CU32" s="114"/>
      <c r="CV32" s="114"/>
      <c r="CW32" s="114"/>
      <c r="CX32" s="107"/>
    </row>
    <row r="33" spans="2:102" ht="11.1" customHeight="1">
      <c r="B33" s="104"/>
      <c r="C33" s="119"/>
      <c r="D33" s="11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3"/>
      <c r="AO33" s="123"/>
      <c r="AP33" s="123"/>
      <c r="AQ33" s="123"/>
      <c r="AR33" s="123"/>
      <c r="AS33" s="123"/>
      <c r="AT33" s="123"/>
      <c r="AU33" s="123"/>
      <c r="AV33" s="123"/>
      <c r="AW33" s="123"/>
      <c r="AX33" s="123"/>
      <c r="AY33" s="114"/>
      <c r="BA33" s="114"/>
      <c r="BB33" s="119"/>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4"/>
      <c r="CH33" s="114"/>
      <c r="CI33" s="114"/>
      <c r="CJ33" s="114"/>
      <c r="CK33" s="114"/>
      <c r="CL33" s="114"/>
      <c r="CM33" s="114"/>
      <c r="CN33" s="114"/>
      <c r="CO33" s="114"/>
      <c r="CP33" s="114"/>
      <c r="CQ33" s="114"/>
      <c r="CR33" s="114"/>
      <c r="CS33" s="114"/>
      <c r="CT33" s="114"/>
      <c r="CU33" s="114"/>
      <c r="CV33" s="114"/>
      <c r="CW33" s="114"/>
      <c r="CX33" s="107"/>
    </row>
    <row r="34" spans="2:102" ht="11.1" customHeight="1">
      <c r="B34" s="104"/>
      <c r="C34" s="119"/>
      <c r="D34" s="116"/>
      <c r="E34" s="126"/>
      <c r="F34" s="126"/>
      <c r="G34" s="126"/>
      <c r="H34" s="126"/>
      <c r="I34" s="126"/>
      <c r="J34" s="126"/>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3"/>
      <c r="AX34" s="123"/>
      <c r="AY34" s="114"/>
      <c r="BA34" s="114"/>
      <c r="BB34" s="119"/>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4"/>
      <c r="CH34" s="114"/>
      <c r="CI34" s="114"/>
      <c r="CJ34" s="114"/>
      <c r="CK34" s="114"/>
      <c r="CL34" s="114"/>
      <c r="CM34" s="114"/>
      <c r="CN34" s="114"/>
      <c r="CO34" s="114"/>
      <c r="CP34" s="114"/>
      <c r="CQ34" s="114"/>
      <c r="CR34" s="114"/>
      <c r="CS34" s="114"/>
      <c r="CT34" s="114"/>
      <c r="CU34" s="114"/>
      <c r="CV34" s="114"/>
      <c r="CW34" s="114"/>
      <c r="CX34" s="107"/>
    </row>
    <row r="35" spans="2:102" ht="11.1" customHeight="1">
      <c r="B35" s="104"/>
      <c r="C35" s="119"/>
      <c r="D35" s="116"/>
      <c r="E35" s="126"/>
      <c r="F35" s="126"/>
      <c r="G35" s="126"/>
      <c r="H35" s="126"/>
      <c r="I35" s="126"/>
      <c r="J35" s="126"/>
      <c r="K35" s="126"/>
      <c r="L35" s="126"/>
      <c r="M35" s="126"/>
      <c r="N35" s="126"/>
      <c r="O35" s="126"/>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3"/>
      <c r="AX35" s="123"/>
      <c r="AY35" s="114"/>
      <c r="BA35" s="114"/>
      <c r="BB35" s="119"/>
      <c r="BC35" s="116"/>
      <c r="BD35" s="116"/>
      <c r="BE35" s="116"/>
      <c r="BF35" s="116"/>
      <c r="BG35" s="116"/>
      <c r="BH35" s="116"/>
      <c r="BI35" s="116"/>
      <c r="BJ35" s="116"/>
      <c r="BK35" s="116"/>
      <c r="BL35" s="116"/>
      <c r="BM35" s="116"/>
      <c r="BN35" s="116"/>
      <c r="BO35" s="116"/>
      <c r="BP35" s="116"/>
      <c r="BQ35" s="116"/>
      <c r="BR35" s="116"/>
      <c r="BS35" s="116"/>
      <c r="BT35" s="116"/>
      <c r="BU35" s="116"/>
      <c r="BV35" s="127"/>
      <c r="BW35" s="116"/>
      <c r="BX35" s="116"/>
      <c r="BY35" s="116"/>
      <c r="BZ35" s="116"/>
      <c r="CA35" s="116"/>
      <c r="CB35" s="116"/>
      <c r="CC35" s="116"/>
      <c r="CD35" s="116"/>
      <c r="CE35" s="116"/>
      <c r="CF35" s="116"/>
      <c r="CG35" s="114"/>
      <c r="CH35" s="114"/>
      <c r="CI35" s="114"/>
      <c r="CJ35" s="114"/>
      <c r="CK35" s="114"/>
      <c r="CL35" s="114"/>
      <c r="CM35" s="114"/>
      <c r="CN35" s="114"/>
      <c r="CO35" s="114"/>
      <c r="CP35" s="114"/>
      <c r="CQ35" s="114"/>
      <c r="CR35" s="114"/>
      <c r="CS35" s="114"/>
      <c r="CT35" s="114"/>
      <c r="CU35" s="114"/>
      <c r="CV35" s="114"/>
      <c r="CW35" s="114"/>
      <c r="CX35" s="107"/>
    </row>
    <row r="36" spans="2:102" ht="11.1" customHeight="1">
      <c r="B36" s="104"/>
      <c r="C36" s="119"/>
      <c r="D36" s="11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3"/>
      <c r="AO36" s="123"/>
      <c r="AP36" s="123"/>
      <c r="AQ36" s="123"/>
      <c r="AR36" s="123"/>
      <c r="AS36" s="123"/>
      <c r="AT36" s="123"/>
      <c r="AU36" s="123"/>
      <c r="AV36" s="123"/>
      <c r="AW36" s="126"/>
      <c r="AX36" s="126"/>
      <c r="AY36" s="114"/>
      <c r="BA36" s="114"/>
      <c r="BB36" s="119"/>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4"/>
      <c r="CH36" s="114"/>
      <c r="CI36" s="114"/>
      <c r="CJ36" s="114"/>
      <c r="CK36" s="114"/>
      <c r="CL36" s="114"/>
      <c r="CM36" s="114"/>
      <c r="CN36" s="114"/>
      <c r="CO36" s="114"/>
      <c r="CP36" s="114"/>
      <c r="CQ36" s="114"/>
      <c r="CR36" s="114"/>
      <c r="CS36" s="114"/>
      <c r="CT36" s="114"/>
      <c r="CU36" s="114"/>
      <c r="CV36" s="114"/>
      <c r="CW36" s="114"/>
      <c r="CX36" s="107"/>
    </row>
    <row r="37" spans="2:102" ht="11.1" customHeight="1">
      <c r="B37" s="104"/>
      <c r="C37" s="119"/>
      <c r="D37" s="11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3"/>
      <c r="AO37" s="123"/>
      <c r="AP37" s="123"/>
      <c r="AQ37" s="123"/>
      <c r="AR37" s="123"/>
      <c r="AS37" s="123"/>
      <c r="AT37" s="123"/>
      <c r="AU37" s="123"/>
      <c r="AV37" s="123"/>
      <c r="AW37" s="126"/>
      <c r="AX37" s="126"/>
      <c r="AY37" s="114"/>
      <c r="BA37" s="114"/>
      <c r="BB37" s="119"/>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4"/>
      <c r="CH37" s="114"/>
      <c r="CI37" s="114"/>
      <c r="CJ37" s="114"/>
      <c r="CK37" s="114"/>
      <c r="CL37" s="114"/>
      <c r="CM37" s="114"/>
      <c r="CN37" s="114"/>
      <c r="CO37" s="114"/>
      <c r="CP37" s="114"/>
      <c r="CQ37" s="114"/>
      <c r="CR37" s="114"/>
      <c r="CS37" s="114"/>
      <c r="CT37" s="114"/>
      <c r="CU37" s="114"/>
      <c r="CV37" s="114"/>
      <c r="CW37" s="114"/>
      <c r="CX37" s="107"/>
    </row>
    <row r="38" spans="2:102" ht="11.1" customHeight="1">
      <c r="B38" s="104"/>
      <c r="C38" s="119"/>
      <c r="D38" s="11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3"/>
      <c r="AO38" s="123"/>
      <c r="AP38" s="123"/>
      <c r="AQ38" s="123"/>
      <c r="AR38" s="123"/>
      <c r="AS38" s="123"/>
      <c r="AT38" s="123"/>
      <c r="AU38" s="123"/>
      <c r="AV38" s="123"/>
      <c r="AW38" s="126"/>
      <c r="AX38" s="126"/>
      <c r="AY38" s="114"/>
      <c r="BA38" s="114"/>
      <c r="BB38" s="119"/>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4"/>
      <c r="CH38" s="114"/>
      <c r="CI38" s="114"/>
      <c r="CJ38" s="114"/>
      <c r="CK38" s="114"/>
      <c r="CL38" s="114"/>
      <c r="CM38" s="114"/>
      <c r="CN38" s="114"/>
      <c r="CO38" s="114"/>
      <c r="CP38" s="114"/>
      <c r="CQ38" s="114"/>
      <c r="CR38" s="114"/>
      <c r="CS38" s="114"/>
      <c r="CT38" s="114"/>
      <c r="CU38" s="114"/>
      <c r="CV38" s="114"/>
      <c r="CW38" s="114"/>
      <c r="CX38" s="107"/>
    </row>
    <row r="39" spans="2:102" ht="11.1" customHeight="1">
      <c r="B39" s="104"/>
      <c r="C39" s="119"/>
      <c r="D39" s="116"/>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26"/>
      <c r="AV39" s="126"/>
      <c r="AW39" s="126"/>
      <c r="AX39" s="126"/>
      <c r="AY39" s="114"/>
      <c r="BA39" s="114"/>
      <c r="BB39" s="119"/>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4"/>
      <c r="CH39" s="114"/>
      <c r="CI39" s="114"/>
      <c r="CJ39" s="114"/>
      <c r="CK39" s="114"/>
      <c r="CL39" s="114"/>
      <c r="CM39" s="114"/>
      <c r="CN39" s="114"/>
      <c r="CO39" s="114"/>
      <c r="CP39" s="114"/>
      <c r="CQ39" s="114"/>
      <c r="CR39" s="114"/>
      <c r="CS39" s="114"/>
      <c r="CT39" s="114"/>
      <c r="CU39" s="114"/>
      <c r="CV39" s="114"/>
      <c r="CW39" s="114"/>
      <c r="CX39" s="107"/>
    </row>
    <row r="40" spans="2:102" ht="11.1" customHeight="1">
      <c r="B40" s="104"/>
      <c r="C40" s="119"/>
      <c r="D40" s="116"/>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26"/>
      <c r="AV40" s="126"/>
      <c r="AW40" s="126"/>
      <c r="AX40" s="126"/>
      <c r="AY40" s="114"/>
      <c r="BA40" s="114"/>
      <c r="BB40" s="119"/>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4"/>
      <c r="CH40" s="114"/>
      <c r="CI40" s="114"/>
      <c r="CJ40" s="114"/>
      <c r="CK40" s="114"/>
      <c r="CL40" s="114"/>
      <c r="CM40" s="114"/>
      <c r="CN40" s="114"/>
      <c r="CO40" s="114"/>
      <c r="CP40" s="114"/>
      <c r="CQ40" s="114"/>
      <c r="CR40" s="114"/>
      <c r="CS40" s="114"/>
      <c r="CT40" s="114"/>
      <c r="CU40" s="114"/>
      <c r="CV40" s="114"/>
      <c r="CW40" s="114"/>
      <c r="CX40" s="107"/>
    </row>
    <row r="41" spans="2:102" ht="11.1" customHeight="1">
      <c r="B41" s="104"/>
      <c r="C41" s="119"/>
      <c r="D41" s="119"/>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26"/>
      <c r="AV41" s="126"/>
      <c r="AW41" s="126"/>
      <c r="AX41" s="126"/>
      <c r="AY41" s="114"/>
      <c r="BA41" s="114"/>
      <c r="BB41" s="119"/>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4"/>
      <c r="CH41" s="114"/>
      <c r="CI41" s="114"/>
      <c r="CJ41" s="114"/>
      <c r="CK41" s="114"/>
      <c r="CL41" s="114"/>
      <c r="CM41" s="114"/>
      <c r="CN41" s="114"/>
      <c r="CO41" s="114"/>
      <c r="CP41" s="114"/>
      <c r="CQ41" s="114"/>
      <c r="CR41" s="114"/>
      <c r="CS41" s="114"/>
      <c r="CT41" s="114"/>
      <c r="CU41" s="114"/>
      <c r="CV41" s="114"/>
      <c r="CW41" s="114"/>
      <c r="CX41" s="107"/>
    </row>
    <row r="42" spans="2:102" ht="11.1" customHeight="1">
      <c r="B42" s="104"/>
      <c r="C42" s="119"/>
      <c r="D42" s="119"/>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26"/>
      <c r="AV42" s="126"/>
      <c r="AW42" s="126"/>
      <c r="AX42" s="126"/>
      <c r="AY42" s="114"/>
      <c r="BA42" s="114"/>
      <c r="BB42" s="119"/>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4"/>
      <c r="CH42" s="114"/>
      <c r="CI42" s="114"/>
      <c r="CJ42" s="114"/>
      <c r="CK42" s="114"/>
      <c r="CL42" s="114"/>
      <c r="CM42" s="114"/>
      <c r="CN42" s="114"/>
      <c r="CO42" s="114"/>
      <c r="CP42" s="114"/>
      <c r="CQ42" s="114"/>
      <c r="CR42" s="114"/>
      <c r="CS42" s="114"/>
      <c r="CT42" s="114"/>
      <c r="CU42" s="114"/>
      <c r="CV42" s="114"/>
      <c r="CW42" s="114"/>
      <c r="CX42" s="107"/>
    </row>
    <row r="43" spans="2:102" s="105" customFormat="1" ht="11.1" customHeight="1">
      <c r="B43" s="104"/>
      <c r="C43" s="119"/>
      <c r="D43" s="119"/>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26"/>
      <c r="AV43" s="126"/>
      <c r="AW43" s="126"/>
      <c r="AX43" s="126"/>
      <c r="AY43" s="114"/>
      <c r="BA43" s="114"/>
      <c r="BB43" s="119"/>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4"/>
      <c r="CH43" s="114"/>
      <c r="CI43" s="114"/>
      <c r="CJ43" s="114"/>
      <c r="CK43" s="114"/>
      <c r="CL43" s="114"/>
      <c r="CM43" s="114"/>
      <c r="CN43" s="114"/>
      <c r="CO43" s="114"/>
      <c r="CP43" s="114"/>
      <c r="CQ43" s="114"/>
      <c r="CR43" s="114"/>
      <c r="CS43" s="114"/>
      <c r="CT43" s="114"/>
      <c r="CU43" s="114"/>
      <c r="CV43" s="114"/>
      <c r="CW43" s="114"/>
      <c r="CX43" s="107"/>
    </row>
    <row r="44" spans="2:102" s="105" customFormat="1" ht="11.1" customHeight="1">
      <c r="B44" s="104"/>
      <c r="C44" s="119"/>
      <c r="D44" s="119"/>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26"/>
      <c r="AV44" s="126"/>
      <c r="AW44" s="126"/>
      <c r="AX44" s="126"/>
      <c r="AY44" s="114"/>
      <c r="BA44" s="114"/>
      <c r="BB44" s="119"/>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c r="CE44" s="116"/>
      <c r="CF44" s="116"/>
      <c r="CG44" s="114"/>
      <c r="CH44" s="114"/>
      <c r="CI44" s="114"/>
      <c r="CJ44" s="114"/>
      <c r="CK44" s="114"/>
      <c r="CL44" s="114"/>
      <c r="CM44" s="114"/>
      <c r="CN44" s="114"/>
      <c r="CO44" s="114"/>
      <c r="CP44" s="114"/>
      <c r="CQ44" s="114"/>
      <c r="CR44" s="114"/>
      <c r="CS44" s="114"/>
      <c r="CT44" s="114"/>
      <c r="CU44" s="114"/>
      <c r="CV44" s="114"/>
      <c r="CW44" s="114"/>
      <c r="CX44" s="107"/>
    </row>
    <row r="45" spans="2:102" s="105" customFormat="1" ht="11.1" customHeight="1">
      <c r="B45" s="104"/>
      <c r="C45" s="114"/>
      <c r="D45" s="114"/>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26"/>
      <c r="AV45" s="126"/>
      <c r="AW45" s="126"/>
      <c r="AX45" s="126"/>
      <c r="AY45" s="114"/>
      <c r="BA45" s="114"/>
      <c r="BB45" s="119"/>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6"/>
      <c r="CF45" s="116"/>
      <c r="CG45" s="114"/>
      <c r="CH45" s="114"/>
      <c r="CI45" s="114"/>
      <c r="CJ45" s="114"/>
      <c r="CK45" s="114"/>
      <c r="CL45" s="114"/>
      <c r="CM45" s="114"/>
      <c r="CN45" s="114"/>
      <c r="CO45" s="114"/>
      <c r="CP45" s="114"/>
      <c r="CQ45" s="114"/>
      <c r="CR45" s="114"/>
      <c r="CS45" s="114"/>
      <c r="CT45" s="114"/>
      <c r="CU45" s="114"/>
      <c r="CV45" s="114"/>
      <c r="CW45" s="114"/>
      <c r="CX45" s="107"/>
    </row>
    <row r="46" spans="2:102" s="105" customFormat="1" ht="11.1" customHeight="1">
      <c r="B46" s="104"/>
      <c r="C46" s="112"/>
      <c r="D46" s="112"/>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26"/>
      <c r="AV46" s="126"/>
      <c r="AW46" s="126"/>
      <c r="AX46" s="123"/>
      <c r="AY46" s="112"/>
      <c r="BA46" s="112"/>
      <c r="BB46" s="114"/>
      <c r="BC46" s="114"/>
      <c r="BD46" s="114"/>
      <c r="BE46" s="114"/>
      <c r="BF46" s="114"/>
      <c r="BG46" s="114"/>
      <c r="BH46" s="114"/>
      <c r="BI46" s="114"/>
      <c r="BJ46" s="114"/>
      <c r="BK46" s="114"/>
      <c r="BL46" s="114"/>
      <c r="BM46" s="114"/>
      <c r="BN46" s="114"/>
      <c r="BO46" s="114"/>
      <c r="BP46" s="114"/>
      <c r="BQ46" s="114"/>
      <c r="BR46" s="114"/>
      <c r="BS46" s="114"/>
      <c r="BT46" s="114"/>
      <c r="BU46" s="114"/>
      <c r="BV46" s="114"/>
      <c r="BW46" s="114"/>
      <c r="BX46" s="114"/>
      <c r="BY46" s="114"/>
      <c r="BZ46" s="114"/>
      <c r="CA46" s="114"/>
      <c r="CB46" s="114"/>
      <c r="CC46" s="114"/>
      <c r="CD46" s="114"/>
      <c r="CE46" s="114"/>
      <c r="CF46" s="114"/>
      <c r="CG46" s="114"/>
      <c r="CH46" s="114"/>
      <c r="CI46" s="114"/>
      <c r="CJ46" s="114"/>
      <c r="CK46" s="114"/>
      <c r="CL46" s="114"/>
      <c r="CM46" s="114"/>
      <c r="CN46" s="114"/>
      <c r="CO46" s="114"/>
      <c r="CP46" s="114"/>
      <c r="CQ46" s="114"/>
      <c r="CR46" s="114"/>
      <c r="CS46" s="114"/>
      <c r="CT46" s="114"/>
      <c r="CU46" s="114"/>
      <c r="CV46" s="114"/>
      <c r="CW46" s="114"/>
      <c r="CX46" s="107"/>
    </row>
    <row r="47" spans="2:102">
      <c r="B47" s="128"/>
      <c r="CX47" s="129"/>
    </row>
    <row r="48" spans="2:102">
      <c r="B48" s="128"/>
      <c r="CX48" s="129"/>
    </row>
    <row r="49" spans="2:102">
      <c r="B49" s="128"/>
      <c r="CX49" s="129"/>
    </row>
    <row r="50" spans="2:102">
      <c r="B50" s="128"/>
      <c r="CX50" s="129"/>
    </row>
    <row r="51" spans="2:102">
      <c r="B51" s="130"/>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1"/>
      <c r="BF51" s="131"/>
      <c r="BG51" s="131"/>
      <c r="BH51" s="131"/>
      <c r="BI51" s="131"/>
      <c r="BJ51" s="131"/>
      <c r="BK51" s="131"/>
      <c r="BL51" s="131"/>
      <c r="BM51" s="131"/>
      <c r="BN51" s="131"/>
      <c r="BO51" s="131"/>
      <c r="BP51" s="131"/>
      <c r="BQ51" s="131"/>
      <c r="BR51" s="131"/>
      <c r="BS51" s="131"/>
      <c r="BT51" s="131"/>
      <c r="BU51" s="131"/>
      <c r="BV51" s="131"/>
      <c r="BW51" s="131"/>
      <c r="BX51" s="131"/>
      <c r="BY51" s="131"/>
      <c r="BZ51" s="131"/>
      <c r="CA51" s="131"/>
      <c r="CB51" s="131"/>
      <c r="CC51" s="131"/>
      <c r="CD51" s="131"/>
      <c r="CE51" s="131"/>
      <c r="CF51" s="131"/>
      <c r="CG51" s="131"/>
      <c r="CH51" s="131"/>
      <c r="CI51" s="131"/>
      <c r="CJ51" s="131"/>
      <c r="CK51" s="131"/>
      <c r="CL51" s="131"/>
      <c r="CM51" s="131"/>
      <c r="CN51" s="131"/>
      <c r="CO51" s="131"/>
      <c r="CP51" s="131"/>
      <c r="CQ51" s="131"/>
      <c r="CR51" s="131"/>
      <c r="CS51" s="131"/>
      <c r="CT51" s="131"/>
      <c r="CU51" s="131"/>
      <c r="CV51" s="131"/>
      <c r="CW51" s="131"/>
      <c r="CX51" s="132"/>
    </row>
    <row r="52" spans="2:102">
      <c r="B52" s="133"/>
      <c r="J52" s="111"/>
      <c r="K52" s="134"/>
      <c r="L52" s="134"/>
      <c r="M52" s="135"/>
      <c r="N52" s="135"/>
      <c r="O52" s="135"/>
      <c r="P52" s="135"/>
      <c r="Q52" s="135"/>
      <c r="R52" s="135"/>
      <c r="S52" s="135"/>
      <c r="T52" s="135"/>
      <c r="U52" s="135"/>
      <c r="V52" s="135"/>
      <c r="W52" s="135"/>
      <c r="X52" s="135"/>
      <c r="Y52" s="135"/>
      <c r="Z52" s="135"/>
      <c r="AA52" s="135"/>
      <c r="AB52" s="135"/>
      <c r="AC52" s="135"/>
      <c r="AD52" s="135"/>
      <c r="AE52" s="135"/>
      <c r="AF52" s="135"/>
      <c r="AG52" s="135"/>
      <c r="AH52" s="135"/>
      <c r="AI52" s="135"/>
      <c r="AJ52" s="135"/>
      <c r="AK52" s="135"/>
      <c r="AL52" s="135"/>
      <c r="AM52" s="135"/>
      <c r="AN52" s="135"/>
      <c r="AO52" s="135"/>
      <c r="AP52" s="135"/>
      <c r="AQ52" s="135"/>
      <c r="AR52" s="135"/>
      <c r="AS52" s="135"/>
      <c r="AT52" s="135"/>
      <c r="AU52" s="135"/>
      <c r="AV52" s="135"/>
      <c r="AW52" s="135"/>
      <c r="AX52" s="135"/>
      <c r="AY52" s="135"/>
      <c r="AZ52" s="135"/>
      <c r="BA52" s="135"/>
      <c r="BB52" s="135"/>
      <c r="BC52" s="135"/>
      <c r="BD52" s="135"/>
      <c r="BE52" s="135"/>
      <c r="BF52" s="135"/>
      <c r="BG52" s="135"/>
      <c r="BH52" s="135"/>
      <c r="BI52" s="135"/>
      <c r="BJ52" s="135"/>
      <c r="BK52" s="135"/>
      <c r="BL52" s="135"/>
      <c r="BM52" s="135"/>
      <c r="BN52" s="135"/>
      <c r="BO52" s="135"/>
      <c r="BP52" s="135"/>
      <c r="BQ52" s="135"/>
      <c r="BR52" s="135"/>
      <c r="BS52" s="135"/>
      <c r="BT52" s="135"/>
      <c r="BU52" s="135"/>
      <c r="BV52" s="135"/>
      <c r="BW52" s="135"/>
      <c r="BX52" s="135"/>
      <c r="BY52" s="135"/>
      <c r="BZ52" s="135"/>
      <c r="CA52" s="135"/>
      <c r="CB52" s="135"/>
      <c r="CC52" s="135"/>
      <c r="CD52" s="135"/>
      <c r="CE52" s="135"/>
      <c r="CF52" s="135"/>
      <c r="CG52" s="135"/>
      <c r="CH52" s="135"/>
      <c r="CI52" s="135"/>
      <c r="CJ52" s="135"/>
      <c r="CK52" s="135"/>
      <c r="CL52" s="135"/>
      <c r="CM52" s="135"/>
      <c r="CN52" s="135"/>
      <c r="CO52" s="135"/>
      <c r="CP52" s="135"/>
      <c r="CQ52" s="135"/>
      <c r="CR52" s="135"/>
      <c r="CS52" s="135"/>
      <c r="CT52" s="135"/>
      <c r="CU52" s="135"/>
      <c r="CV52" s="135"/>
      <c r="CW52" s="135"/>
      <c r="CX52" s="136"/>
    </row>
    <row r="53" spans="2:102">
      <c r="B53" s="133"/>
      <c r="C53" s="108" t="s">
        <v>103</v>
      </c>
      <c r="D53" s="109"/>
      <c r="E53" s="110" t="s">
        <v>104</v>
      </c>
      <c r="F53" s="111"/>
      <c r="G53" s="111"/>
      <c r="H53" s="111"/>
      <c r="I53" s="111"/>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135"/>
      <c r="AK53" s="135"/>
      <c r="AL53" s="135"/>
      <c r="AM53" s="135"/>
      <c r="AN53" s="135"/>
      <c r="AO53" s="135"/>
      <c r="AP53" s="135"/>
      <c r="AQ53" s="135"/>
      <c r="AR53" s="135"/>
      <c r="AS53" s="135"/>
      <c r="AT53" s="135"/>
      <c r="AU53" s="135"/>
      <c r="AV53" s="135"/>
      <c r="AW53" s="135"/>
      <c r="AX53" s="135"/>
      <c r="AY53" s="135"/>
      <c r="AZ53" s="135"/>
      <c r="BA53" s="135"/>
      <c r="BB53" s="135"/>
      <c r="BC53" s="135"/>
      <c r="BD53" s="135"/>
      <c r="BE53" s="135"/>
      <c r="BF53" s="135"/>
      <c r="BG53" s="135"/>
      <c r="BH53" s="135"/>
      <c r="BI53" s="135"/>
      <c r="BJ53" s="135"/>
      <c r="BK53" s="135"/>
      <c r="BL53" s="135"/>
      <c r="BM53" s="135"/>
      <c r="BN53" s="135"/>
      <c r="BO53" s="135"/>
      <c r="BP53" s="135"/>
      <c r="BQ53" s="135"/>
      <c r="BR53" s="135"/>
      <c r="BS53" s="135"/>
      <c r="BT53" s="135"/>
      <c r="BU53" s="135"/>
      <c r="BV53" s="135"/>
      <c r="BW53" s="135"/>
      <c r="BX53" s="135"/>
      <c r="BY53" s="135"/>
      <c r="BZ53" s="135"/>
      <c r="CA53" s="135"/>
      <c r="CB53" s="135"/>
      <c r="CC53" s="135"/>
      <c r="CD53" s="135"/>
      <c r="CE53" s="135"/>
      <c r="CF53" s="135"/>
      <c r="CG53" s="135"/>
      <c r="CH53" s="135"/>
      <c r="CI53" s="135"/>
      <c r="CJ53" s="135"/>
      <c r="CK53" s="135"/>
      <c r="CL53" s="135"/>
      <c r="CM53" s="135"/>
      <c r="CN53" s="135"/>
      <c r="CO53" s="135"/>
      <c r="CP53" s="135"/>
      <c r="CQ53" s="135"/>
      <c r="CR53" s="135"/>
      <c r="CS53" s="135"/>
      <c r="CT53" s="135"/>
      <c r="CU53" s="135"/>
      <c r="CV53" s="135"/>
      <c r="CW53" s="135"/>
      <c r="CX53" s="136"/>
    </row>
    <row r="54" spans="2:102">
      <c r="B54" s="133"/>
      <c r="C54" s="135"/>
      <c r="D54" s="135"/>
      <c r="E54" s="137" t="s">
        <v>105</v>
      </c>
      <c r="F54" s="138"/>
      <c r="G54" s="138"/>
      <c r="H54" s="138" t="s">
        <v>106</v>
      </c>
      <c r="I54" s="138"/>
      <c r="J54" s="135"/>
      <c r="K54" s="135"/>
      <c r="L54" s="135"/>
      <c r="M54" s="135"/>
      <c r="N54" s="135"/>
      <c r="O54" s="135"/>
      <c r="P54" s="135"/>
      <c r="Q54" s="135"/>
      <c r="R54" s="135"/>
      <c r="S54" s="135"/>
      <c r="T54" s="135"/>
      <c r="U54" s="135"/>
      <c r="V54" s="135"/>
      <c r="W54" s="135"/>
      <c r="X54" s="135"/>
      <c r="Y54" s="135"/>
      <c r="Z54" s="135"/>
      <c r="AA54" s="135"/>
      <c r="AB54" s="135"/>
      <c r="AC54" s="135"/>
      <c r="AD54" s="135"/>
      <c r="AE54" s="135"/>
      <c r="AF54" s="135"/>
      <c r="AG54" s="135"/>
      <c r="AH54" s="135"/>
      <c r="AI54" s="135"/>
      <c r="AJ54" s="135"/>
      <c r="AK54" s="135"/>
      <c r="AL54" s="135"/>
      <c r="AM54" s="135"/>
      <c r="AN54" s="135"/>
      <c r="AO54" s="135"/>
      <c r="AP54" s="135"/>
      <c r="AQ54" s="135"/>
      <c r="AR54" s="135"/>
      <c r="AS54" s="135"/>
      <c r="AT54" s="135"/>
      <c r="AU54" s="135"/>
      <c r="AV54" s="135"/>
      <c r="AW54" s="135"/>
      <c r="AX54" s="135"/>
      <c r="AY54" s="135"/>
      <c r="AZ54" s="135"/>
      <c r="BA54" s="135"/>
      <c r="BB54" s="135"/>
      <c r="BC54" s="135"/>
      <c r="BD54" s="135"/>
      <c r="BE54" s="135"/>
      <c r="BF54" s="135"/>
      <c r="BG54" s="135"/>
      <c r="BH54" s="135"/>
      <c r="BI54" s="135"/>
      <c r="BJ54" s="135"/>
      <c r="BK54" s="135"/>
      <c r="BL54" s="135"/>
      <c r="BM54" s="135"/>
      <c r="BN54" s="135"/>
      <c r="BO54" s="135"/>
      <c r="BP54" s="135"/>
      <c r="BQ54" s="135"/>
      <c r="BR54" s="135"/>
      <c r="BS54" s="135"/>
      <c r="BT54" s="135"/>
      <c r="BU54" s="135"/>
      <c r="BV54" s="135"/>
      <c r="BW54" s="135"/>
      <c r="BX54" s="135"/>
      <c r="BY54" s="135"/>
      <c r="BZ54" s="135"/>
      <c r="CA54" s="135"/>
      <c r="CB54" s="135"/>
      <c r="CC54" s="135"/>
      <c r="CD54" s="135"/>
      <c r="CE54" s="135"/>
      <c r="CF54" s="135"/>
      <c r="CG54" s="135"/>
      <c r="CH54" s="135"/>
      <c r="CI54" s="135"/>
      <c r="CJ54" s="135"/>
      <c r="CK54" s="135"/>
      <c r="CL54" s="135"/>
      <c r="CM54" s="135"/>
      <c r="CN54" s="135"/>
      <c r="CO54" s="135"/>
      <c r="CP54" s="135"/>
      <c r="CQ54" s="135"/>
      <c r="CR54" s="135"/>
      <c r="CS54" s="135"/>
      <c r="CT54" s="135"/>
      <c r="CU54" s="135"/>
      <c r="CV54" s="135"/>
      <c r="CW54" s="135"/>
      <c r="CX54" s="136"/>
    </row>
    <row r="55" spans="2:102">
      <c r="B55" s="133"/>
      <c r="C55" s="135"/>
      <c r="D55" s="135"/>
      <c r="E55" s="135"/>
      <c r="F55" s="135"/>
      <c r="G55" s="135"/>
      <c r="H55" s="135"/>
      <c r="I55" s="135"/>
      <c r="J55" s="135"/>
      <c r="K55" s="135"/>
      <c r="L55" s="135"/>
      <c r="M55" s="135"/>
      <c r="N55" s="135"/>
      <c r="O55" s="135"/>
      <c r="P55" s="135"/>
      <c r="Q55" s="135"/>
      <c r="R55" s="135"/>
      <c r="S55" s="135"/>
      <c r="T55" s="135"/>
      <c r="U55" s="135"/>
      <c r="V55" s="135"/>
      <c r="W55" s="135"/>
      <c r="X55" s="135"/>
      <c r="Y55" s="135"/>
      <c r="Z55" s="135"/>
      <c r="AA55" s="135"/>
      <c r="AB55" s="135"/>
      <c r="AC55" s="135"/>
      <c r="AD55" s="135"/>
      <c r="AE55" s="135"/>
      <c r="AF55" s="135"/>
      <c r="AG55" s="135"/>
      <c r="AH55" s="135"/>
      <c r="AI55" s="135"/>
      <c r="AJ55" s="135"/>
      <c r="AK55" s="135"/>
      <c r="AL55" s="135"/>
      <c r="AM55" s="135"/>
      <c r="AN55" s="135"/>
      <c r="AO55" s="135"/>
      <c r="AP55" s="135"/>
      <c r="AQ55" s="135"/>
      <c r="AR55" s="135"/>
      <c r="AS55" s="135"/>
      <c r="AT55" s="135"/>
      <c r="AU55" s="135"/>
      <c r="AV55" s="135"/>
      <c r="AW55" s="135"/>
      <c r="AX55" s="135"/>
      <c r="AY55" s="135"/>
      <c r="AZ55" s="135"/>
      <c r="BA55" s="135"/>
      <c r="BB55" s="135"/>
      <c r="BC55" s="135"/>
      <c r="BD55" s="135"/>
      <c r="BE55" s="135"/>
      <c r="BF55" s="135"/>
      <c r="BG55" s="135"/>
      <c r="BH55" s="135"/>
      <c r="BI55" s="135"/>
      <c r="BJ55" s="135"/>
      <c r="BK55" s="135"/>
      <c r="BL55" s="135"/>
      <c r="BM55" s="135"/>
      <c r="BN55" s="135"/>
      <c r="BO55" s="135"/>
      <c r="BP55" s="135"/>
      <c r="BQ55" s="135"/>
      <c r="BR55" s="135"/>
      <c r="BS55" s="135"/>
      <c r="BT55" s="135"/>
      <c r="BU55" s="135"/>
      <c r="BV55" s="135"/>
      <c r="BW55" s="135"/>
      <c r="BX55" s="135"/>
      <c r="BY55" s="135"/>
      <c r="BZ55" s="135"/>
      <c r="CA55" s="135"/>
      <c r="CB55" s="135"/>
      <c r="CC55" s="135"/>
      <c r="CD55" s="135"/>
      <c r="CE55" s="135"/>
      <c r="CF55" s="135"/>
      <c r="CG55" s="135"/>
      <c r="CH55" s="135"/>
      <c r="CI55" s="135"/>
      <c r="CJ55" s="135"/>
      <c r="CK55" s="135"/>
      <c r="CL55" s="135"/>
      <c r="CM55" s="135"/>
      <c r="CN55" s="135"/>
      <c r="CO55" s="135"/>
      <c r="CP55" s="135"/>
      <c r="CQ55" s="135"/>
      <c r="CR55" s="135"/>
      <c r="CS55" s="135"/>
      <c r="CT55" s="135"/>
      <c r="CU55" s="135"/>
      <c r="CV55" s="135"/>
      <c r="CW55" s="135"/>
      <c r="CX55" s="136"/>
    </row>
    <row r="56" spans="2:102">
      <c r="B56" s="133"/>
      <c r="C56" s="135"/>
      <c r="D56" s="135"/>
      <c r="E56" s="135"/>
      <c r="F56" s="135"/>
      <c r="G56" s="135"/>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35"/>
      <c r="AH56" s="135"/>
      <c r="AI56" s="135"/>
      <c r="AJ56" s="135"/>
      <c r="AK56" s="135"/>
      <c r="AL56" s="135"/>
      <c r="AM56" s="135"/>
      <c r="AN56" s="135"/>
      <c r="AO56" s="135"/>
      <c r="AP56" s="135"/>
      <c r="AQ56" s="135"/>
      <c r="AR56" s="135"/>
      <c r="AS56" s="135"/>
      <c r="AT56" s="135"/>
      <c r="AU56" s="135"/>
      <c r="AV56" s="135"/>
      <c r="AW56" s="135"/>
      <c r="AX56" s="135"/>
      <c r="AY56" s="135"/>
      <c r="AZ56" s="135"/>
      <c r="BA56" s="135"/>
      <c r="BB56" s="135"/>
      <c r="BC56" s="135"/>
      <c r="BD56" s="135"/>
      <c r="BE56" s="135"/>
      <c r="BF56" s="135"/>
      <c r="BG56" s="135"/>
      <c r="BH56" s="135"/>
      <c r="BI56" s="135"/>
      <c r="BJ56" s="135"/>
      <c r="BK56" s="135"/>
      <c r="BL56" s="135"/>
      <c r="BM56" s="135"/>
      <c r="BN56" s="135"/>
      <c r="BO56" s="135"/>
      <c r="BP56" s="135"/>
      <c r="BQ56" s="135"/>
      <c r="BR56" s="135"/>
      <c r="BS56" s="135"/>
      <c r="BT56" s="135"/>
      <c r="BU56" s="135"/>
      <c r="BV56" s="135"/>
      <c r="BW56" s="135"/>
      <c r="BX56" s="135"/>
      <c r="BY56" s="135"/>
      <c r="BZ56" s="135"/>
      <c r="CA56" s="135"/>
      <c r="CB56" s="135"/>
      <c r="CC56" s="135"/>
      <c r="CD56" s="135"/>
      <c r="CE56" s="135"/>
      <c r="CF56" s="135"/>
      <c r="CG56" s="135"/>
      <c r="CH56" s="135"/>
      <c r="CI56" s="135"/>
      <c r="CJ56" s="135"/>
      <c r="CK56" s="135"/>
      <c r="CL56" s="135"/>
      <c r="CM56" s="135"/>
      <c r="CN56" s="135"/>
      <c r="CO56" s="135"/>
      <c r="CP56" s="135"/>
      <c r="CQ56" s="135"/>
      <c r="CR56" s="135"/>
      <c r="CS56" s="135"/>
      <c r="CT56" s="135"/>
      <c r="CU56" s="135"/>
      <c r="CV56" s="135"/>
      <c r="CW56" s="135"/>
      <c r="CX56" s="136"/>
    </row>
    <row r="57" spans="2:102">
      <c r="B57" s="133"/>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135"/>
      <c r="BB57" s="135"/>
      <c r="BC57" s="135"/>
      <c r="BD57" s="135"/>
      <c r="BE57" s="135"/>
      <c r="BF57" s="135"/>
      <c r="BG57" s="135"/>
      <c r="BH57" s="135"/>
      <c r="BI57" s="135"/>
      <c r="BJ57" s="135"/>
      <c r="BK57" s="135"/>
      <c r="BL57" s="135"/>
      <c r="BM57" s="135"/>
      <c r="BN57" s="135"/>
      <c r="BO57" s="135"/>
      <c r="BP57" s="135"/>
      <c r="BQ57" s="135"/>
      <c r="BR57" s="135"/>
      <c r="BS57" s="135"/>
      <c r="BT57" s="135"/>
      <c r="BU57" s="135"/>
      <c r="BV57" s="135"/>
      <c r="BW57" s="135"/>
      <c r="BX57" s="135"/>
      <c r="BY57" s="135"/>
      <c r="BZ57" s="135"/>
      <c r="CA57" s="135"/>
      <c r="CB57" s="135"/>
      <c r="CC57" s="135"/>
      <c r="CD57" s="135"/>
      <c r="CE57" s="135"/>
      <c r="CF57" s="135"/>
      <c r="CG57" s="135"/>
      <c r="CH57" s="135"/>
      <c r="CI57" s="135"/>
      <c r="CJ57" s="135"/>
      <c r="CK57" s="135"/>
      <c r="CL57" s="135"/>
      <c r="CM57" s="135"/>
      <c r="CN57" s="135"/>
      <c r="CO57" s="135"/>
      <c r="CP57" s="135"/>
      <c r="CQ57" s="135"/>
      <c r="CR57" s="135"/>
      <c r="CS57" s="135"/>
      <c r="CT57" s="135"/>
      <c r="CU57" s="135"/>
      <c r="CV57" s="135"/>
      <c r="CW57" s="135"/>
      <c r="CX57" s="136"/>
    </row>
    <row r="58" spans="2:102">
      <c r="B58" s="133"/>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c r="BH58" s="135"/>
      <c r="BI58" s="135"/>
      <c r="BJ58" s="135"/>
      <c r="BK58" s="135"/>
      <c r="BL58" s="135"/>
      <c r="BM58" s="135"/>
      <c r="BN58" s="135"/>
      <c r="BO58" s="135"/>
      <c r="BP58" s="135"/>
      <c r="BQ58" s="135"/>
      <c r="BR58" s="135"/>
      <c r="BS58" s="135"/>
      <c r="BT58" s="135"/>
      <c r="BU58" s="135"/>
      <c r="BV58" s="135"/>
      <c r="BW58" s="135"/>
      <c r="BX58" s="135"/>
      <c r="BY58" s="135"/>
      <c r="BZ58" s="135"/>
      <c r="CA58" s="135"/>
      <c r="CB58" s="135"/>
      <c r="CC58" s="135"/>
      <c r="CD58" s="135"/>
      <c r="CE58" s="135"/>
      <c r="CF58" s="135"/>
      <c r="CG58" s="135"/>
      <c r="CH58" s="135"/>
      <c r="CI58" s="135"/>
      <c r="CJ58" s="135"/>
      <c r="CK58" s="135"/>
      <c r="CL58" s="135"/>
      <c r="CM58" s="135"/>
      <c r="CN58" s="135"/>
      <c r="CO58" s="135"/>
      <c r="CP58" s="135"/>
      <c r="CQ58" s="135"/>
      <c r="CR58" s="135"/>
      <c r="CS58" s="135"/>
      <c r="CT58" s="135"/>
      <c r="CU58" s="135"/>
      <c r="CV58" s="135"/>
      <c r="CW58" s="135"/>
      <c r="CX58" s="136"/>
    </row>
    <row r="59" spans="2:102">
      <c r="B59" s="133"/>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c r="AA59" s="135"/>
      <c r="AB59" s="135"/>
      <c r="AC59" s="135"/>
      <c r="AD59" s="135"/>
      <c r="AE59" s="135"/>
      <c r="AF59" s="135"/>
      <c r="AG59" s="135"/>
      <c r="AH59" s="135"/>
      <c r="AI59" s="135"/>
      <c r="AJ59" s="135"/>
      <c r="AK59" s="135"/>
      <c r="AL59" s="135"/>
      <c r="AM59" s="135"/>
      <c r="AN59" s="135"/>
      <c r="AO59" s="135"/>
      <c r="AP59" s="135"/>
      <c r="AQ59" s="135"/>
      <c r="AR59" s="135"/>
      <c r="AS59" s="135"/>
      <c r="AT59" s="135"/>
      <c r="AU59" s="135"/>
      <c r="AV59" s="135"/>
      <c r="AW59" s="135"/>
      <c r="AX59" s="135"/>
      <c r="AY59" s="135"/>
      <c r="AZ59" s="135"/>
      <c r="BA59" s="135"/>
      <c r="BB59" s="135"/>
      <c r="BC59" s="135"/>
      <c r="BD59" s="135"/>
      <c r="BE59" s="135"/>
      <c r="BF59" s="135"/>
      <c r="BG59" s="135"/>
      <c r="BH59" s="135"/>
      <c r="BI59" s="135"/>
      <c r="BJ59" s="135"/>
      <c r="BK59" s="135"/>
      <c r="BL59" s="135"/>
      <c r="BM59" s="135"/>
      <c r="BN59" s="135"/>
      <c r="BO59" s="135"/>
      <c r="BP59" s="135"/>
      <c r="BQ59" s="135"/>
      <c r="BR59" s="135"/>
      <c r="BS59" s="135"/>
      <c r="BT59" s="135"/>
      <c r="BU59" s="135"/>
      <c r="BV59" s="135"/>
      <c r="BW59" s="135"/>
      <c r="BX59" s="135"/>
      <c r="BY59" s="135"/>
      <c r="BZ59" s="135"/>
      <c r="CA59" s="135"/>
      <c r="CB59" s="135"/>
      <c r="CC59" s="135"/>
      <c r="CD59" s="135"/>
      <c r="CE59" s="135"/>
      <c r="CF59" s="135"/>
      <c r="CG59" s="135"/>
      <c r="CH59" s="135"/>
      <c r="CI59" s="135"/>
      <c r="CJ59" s="135"/>
      <c r="CK59" s="135"/>
      <c r="CL59" s="135"/>
      <c r="CM59" s="135"/>
      <c r="CN59" s="135"/>
      <c r="CO59" s="135"/>
      <c r="CP59" s="135"/>
      <c r="CQ59" s="135"/>
      <c r="CR59" s="135"/>
      <c r="CS59" s="135"/>
      <c r="CT59" s="135"/>
      <c r="CU59" s="135"/>
      <c r="CV59" s="135"/>
      <c r="CW59" s="135"/>
      <c r="CX59" s="136"/>
    </row>
    <row r="60" spans="2:102">
      <c r="B60" s="133"/>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5"/>
      <c r="BN60" s="135"/>
      <c r="BO60" s="135"/>
      <c r="BP60" s="135"/>
      <c r="BQ60" s="135"/>
      <c r="BR60" s="135"/>
      <c r="BS60" s="135"/>
      <c r="BT60" s="135"/>
      <c r="BU60" s="135"/>
      <c r="BV60" s="135"/>
      <c r="BW60" s="135"/>
      <c r="BX60" s="135"/>
      <c r="BY60" s="135"/>
      <c r="BZ60" s="135"/>
      <c r="CA60" s="135"/>
      <c r="CB60" s="135"/>
      <c r="CC60" s="135"/>
      <c r="CD60" s="135"/>
      <c r="CE60" s="135"/>
      <c r="CF60" s="135"/>
      <c r="CG60" s="135"/>
      <c r="CH60" s="135"/>
      <c r="CI60" s="135"/>
      <c r="CJ60" s="135"/>
      <c r="CK60" s="135"/>
      <c r="CL60" s="135"/>
      <c r="CM60" s="135"/>
      <c r="CN60" s="135"/>
      <c r="CO60" s="135"/>
      <c r="CP60" s="135"/>
      <c r="CQ60" s="135"/>
      <c r="CR60" s="135"/>
      <c r="CS60" s="135"/>
      <c r="CT60" s="135"/>
      <c r="CU60" s="135"/>
      <c r="CV60" s="135"/>
      <c r="CW60" s="135"/>
      <c r="CX60" s="136"/>
    </row>
    <row r="61" spans="2:102">
      <c r="B61" s="133"/>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c r="AT61" s="135"/>
      <c r="AU61" s="135"/>
      <c r="AV61" s="135"/>
      <c r="AW61" s="135"/>
      <c r="AX61" s="135"/>
      <c r="AY61" s="135"/>
      <c r="AZ61" s="135"/>
      <c r="BA61" s="135"/>
      <c r="BB61" s="135"/>
      <c r="BC61" s="135"/>
      <c r="BD61" s="135"/>
      <c r="BE61" s="135"/>
      <c r="BF61" s="135"/>
      <c r="BG61" s="135"/>
      <c r="BH61" s="135"/>
      <c r="BI61" s="135"/>
      <c r="BJ61" s="135"/>
      <c r="BK61" s="135"/>
      <c r="BL61" s="135"/>
      <c r="BM61" s="135"/>
      <c r="BN61" s="135"/>
      <c r="BO61" s="135"/>
      <c r="BP61" s="135"/>
      <c r="BQ61" s="135"/>
      <c r="BR61" s="135"/>
      <c r="BS61" s="135"/>
      <c r="BT61" s="135"/>
      <c r="BU61" s="135"/>
      <c r="BV61" s="135"/>
      <c r="BW61" s="135"/>
      <c r="BX61" s="135"/>
      <c r="BY61" s="135"/>
      <c r="BZ61" s="135"/>
      <c r="CA61" s="135"/>
      <c r="CB61" s="135"/>
      <c r="CC61" s="135"/>
      <c r="CD61" s="135"/>
      <c r="CE61" s="135"/>
      <c r="CF61" s="135"/>
      <c r="CG61" s="135"/>
      <c r="CH61" s="135"/>
      <c r="CI61" s="135"/>
      <c r="CJ61" s="135"/>
      <c r="CK61" s="135"/>
      <c r="CL61" s="135"/>
      <c r="CM61" s="135"/>
      <c r="CN61" s="135"/>
      <c r="CO61" s="135"/>
      <c r="CP61" s="135"/>
      <c r="CQ61" s="135"/>
      <c r="CR61" s="135"/>
      <c r="CS61" s="135"/>
      <c r="CT61" s="135"/>
      <c r="CU61" s="135"/>
      <c r="CV61" s="135"/>
      <c r="CW61" s="135"/>
      <c r="CX61" s="136"/>
    </row>
    <row r="62" spans="2:102">
      <c r="B62" s="133"/>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5"/>
      <c r="BS62" s="135"/>
      <c r="BT62" s="135"/>
      <c r="BU62" s="135"/>
      <c r="BV62" s="135"/>
      <c r="BW62" s="135"/>
      <c r="BX62" s="135"/>
      <c r="BY62" s="135"/>
      <c r="BZ62" s="135"/>
      <c r="CA62" s="135"/>
      <c r="CB62" s="135"/>
      <c r="CC62" s="135"/>
      <c r="CD62" s="135"/>
      <c r="CE62" s="135"/>
      <c r="CF62" s="135"/>
      <c r="CG62" s="135"/>
      <c r="CH62" s="135"/>
      <c r="CI62" s="135"/>
      <c r="CJ62" s="135"/>
      <c r="CK62" s="135"/>
      <c r="CL62" s="135"/>
      <c r="CM62" s="135"/>
      <c r="CN62" s="135"/>
      <c r="CO62" s="135"/>
      <c r="CP62" s="135"/>
      <c r="CQ62" s="135"/>
      <c r="CR62" s="135"/>
      <c r="CS62" s="135"/>
      <c r="CT62" s="135"/>
      <c r="CU62" s="135"/>
      <c r="CV62" s="135"/>
      <c r="CW62" s="135"/>
      <c r="CX62" s="136"/>
    </row>
    <row r="63" spans="2:102">
      <c r="B63" s="133"/>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5"/>
      <c r="BS63" s="135"/>
      <c r="BT63" s="135"/>
      <c r="BU63" s="135"/>
      <c r="BV63" s="135"/>
      <c r="BW63" s="135"/>
      <c r="BX63" s="135"/>
      <c r="BY63" s="135"/>
      <c r="BZ63" s="135"/>
      <c r="CA63" s="135"/>
      <c r="CB63" s="135"/>
      <c r="CC63" s="135"/>
      <c r="CD63" s="135"/>
      <c r="CE63" s="135"/>
      <c r="CF63" s="135"/>
      <c r="CG63" s="135"/>
      <c r="CH63" s="135"/>
      <c r="CI63" s="135"/>
      <c r="CJ63" s="135"/>
      <c r="CK63" s="135"/>
      <c r="CL63" s="135"/>
      <c r="CM63" s="135"/>
      <c r="CN63" s="135"/>
      <c r="CO63" s="135"/>
      <c r="CP63" s="135"/>
      <c r="CQ63" s="135"/>
      <c r="CR63" s="135"/>
      <c r="CS63" s="135"/>
      <c r="CT63" s="135"/>
      <c r="CU63" s="135"/>
      <c r="CV63" s="135"/>
      <c r="CW63" s="135"/>
      <c r="CX63" s="136"/>
    </row>
    <row r="64" spans="2:102">
      <c r="B64" s="133"/>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c r="AZ64" s="135"/>
      <c r="BA64" s="135"/>
      <c r="BB64" s="135"/>
      <c r="BC64" s="135"/>
      <c r="BD64" s="135"/>
      <c r="BE64" s="135"/>
      <c r="BF64" s="135"/>
      <c r="BG64" s="135"/>
      <c r="BH64" s="135"/>
      <c r="BI64" s="135"/>
      <c r="BJ64" s="135"/>
      <c r="BK64" s="135"/>
      <c r="BL64" s="135"/>
      <c r="BM64" s="135"/>
      <c r="BN64" s="135"/>
      <c r="BO64" s="135"/>
      <c r="BP64" s="135"/>
      <c r="BQ64" s="135"/>
      <c r="BR64" s="135"/>
      <c r="BS64" s="135"/>
      <c r="BT64" s="135"/>
      <c r="BU64" s="135"/>
      <c r="BV64" s="135"/>
      <c r="BW64" s="135"/>
      <c r="BX64" s="135"/>
      <c r="BY64" s="135"/>
      <c r="BZ64" s="135"/>
      <c r="CA64" s="135"/>
      <c r="CB64" s="135"/>
      <c r="CC64" s="135"/>
      <c r="CD64" s="135"/>
      <c r="CE64" s="135"/>
      <c r="CF64" s="135"/>
      <c r="CG64" s="135"/>
      <c r="CH64" s="135"/>
      <c r="CI64" s="135"/>
      <c r="CJ64" s="135"/>
      <c r="CK64" s="135"/>
      <c r="CL64" s="135"/>
      <c r="CM64" s="135"/>
      <c r="CN64" s="135"/>
      <c r="CO64" s="135"/>
      <c r="CP64" s="135"/>
      <c r="CQ64" s="135"/>
      <c r="CR64" s="135"/>
      <c r="CS64" s="135"/>
      <c r="CT64" s="135"/>
      <c r="CU64" s="135"/>
      <c r="CV64" s="135"/>
      <c r="CW64" s="135"/>
      <c r="CX64" s="136"/>
    </row>
    <row r="65" spans="2:102">
      <c r="B65" s="133"/>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c r="AW65" s="135"/>
      <c r="AX65" s="135"/>
      <c r="AY65" s="135"/>
      <c r="AZ65" s="135"/>
      <c r="BA65" s="135"/>
      <c r="BB65" s="135"/>
      <c r="BC65" s="135"/>
      <c r="BD65" s="135"/>
      <c r="BE65" s="135"/>
      <c r="BF65" s="135"/>
      <c r="BG65" s="135"/>
      <c r="BH65" s="135"/>
      <c r="BI65" s="135"/>
      <c r="BJ65" s="135"/>
      <c r="BK65" s="135"/>
      <c r="BL65" s="135"/>
      <c r="BM65" s="135"/>
      <c r="BN65" s="135"/>
      <c r="BO65" s="135"/>
      <c r="BP65" s="135"/>
      <c r="BQ65" s="135"/>
      <c r="BR65" s="135"/>
      <c r="BS65" s="135"/>
      <c r="BT65" s="135"/>
      <c r="BU65" s="135"/>
      <c r="BV65" s="135"/>
      <c r="BW65" s="135"/>
      <c r="BX65" s="135"/>
      <c r="BY65" s="135"/>
      <c r="BZ65" s="135"/>
      <c r="CA65" s="135"/>
      <c r="CB65" s="135"/>
      <c r="CC65" s="135"/>
      <c r="CD65" s="135"/>
      <c r="CE65" s="135"/>
      <c r="CF65" s="135"/>
      <c r="CG65" s="135"/>
      <c r="CH65" s="135"/>
      <c r="CI65" s="135"/>
      <c r="CJ65" s="135"/>
      <c r="CK65" s="135"/>
      <c r="CL65" s="135"/>
      <c r="CM65" s="135"/>
      <c r="CN65" s="135"/>
      <c r="CO65" s="135"/>
      <c r="CP65" s="135"/>
      <c r="CQ65" s="135"/>
      <c r="CR65" s="135"/>
      <c r="CS65" s="135"/>
      <c r="CT65" s="135"/>
      <c r="CU65" s="135"/>
      <c r="CV65" s="135"/>
      <c r="CW65" s="135"/>
      <c r="CX65" s="136"/>
    </row>
    <row r="66" spans="2:102">
      <c r="B66" s="133"/>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c r="AM66" s="135"/>
      <c r="AN66" s="135"/>
      <c r="AO66" s="135"/>
      <c r="AP66" s="135"/>
      <c r="AQ66" s="135"/>
      <c r="AR66" s="135"/>
      <c r="AS66" s="135"/>
      <c r="AT66" s="135"/>
      <c r="AU66" s="135"/>
      <c r="AV66" s="135"/>
      <c r="AW66" s="135"/>
      <c r="AX66" s="135"/>
      <c r="AY66" s="135"/>
      <c r="AZ66" s="135"/>
      <c r="BA66" s="135"/>
      <c r="BB66" s="135"/>
      <c r="BC66" s="135"/>
      <c r="BD66" s="135"/>
      <c r="BE66" s="135"/>
      <c r="BF66" s="135"/>
      <c r="BG66" s="135"/>
      <c r="BH66" s="135"/>
      <c r="BI66" s="135"/>
      <c r="BJ66" s="135"/>
      <c r="BK66" s="135"/>
      <c r="BL66" s="135"/>
      <c r="BM66" s="135"/>
      <c r="BN66" s="135"/>
      <c r="BO66" s="135"/>
      <c r="BP66" s="135"/>
      <c r="BQ66" s="135"/>
      <c r="BR66" s="135"/>
      <c r="BS66" s="135"/>
      <c r="BT66" s="135"/>
      <c r="BU66" s="135"/>
      <c r="BV66" s="135"/>
      <c r="BW66" s="135"/>
      <c r="BX66" s="135"/>
      <c r="BY66" s="135"/>
      <c r="BZ66" s="135"/>
      <c r="CA66" s="135"/>
      <c r="CB66" s="135"/>
      <c r="CC66" s="135"/>
      <c r="CD66" s="135"/>
      <c r="CE66" s="135"/>
      <c r="CF66" s="135"/>
      <c r="CG66" s="135"/>
      <c r="CH66" s="135"/>
      <c r="CI66" s="135"/>
      <c r="CJ66" s="135"/>
      <c r="CK66" s="135"/>
      <c r="CL66" s="135"/>
      <c r="CM66" s="135"/>
      <c r="CN66" s="135"/>
      <c r="CO66" s="135"/>
      <c r="CP66" s="135"/>
      <c r="CQ66" s="135"/>
      <c r="CR66" s="135"/>
      <c r="CS66" s="135"/>
      <c r="CT66" s="135"/>
      <c r="CU66" s="135"/>
      <c r="CV66" s="135"/>
      <c r="CW66" s="135"/>
      <c r="CX66" s="136"/>
    </row>
    <row r="67" spans="2:102">
      <c r="B67" s="133"/>
      <c r="C67" s="135"/>
      <c r="D67" s="135"/>
      <c r="E67" s="135"/>
      <c r="F67" s="135"/>
      <c r="G67" s="135"/>
      <c r="H67" s="135" t="s">
        <v>107</v>
      </c>
      <c r="I67" s="135"/>
      <c r="J67" s="135"/>
      <c r="K67" s="135"/>
      <c r="L67" s="135"/>
      <c r="M67" s="135"/>
      <c r="N67" s="135" t="s">
        <v>108</v>
      </c>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c r="AM67" s="135"/>
      <c r="AN67" s="135"/>
      <c r="AO67" s="135"/>
      <c r="AP67" s="135"/>
      <c r="AQ67" s="135"/>
      <c r="AR67" s="135"/>
      <c r="AS67" s="135"/>
      <c r="AT67" s="135"/>
      <c r="AU67" s="135"/>
      <c r="AV67" s="135"/>
      <c r="AW67" s="135"/>
      <c r="AX67" s="135"/>
      <c r="AY67" s="135"/>
      <c r="AZ67" s="135"/>
      <c r="BA67" s="135"/>
      <c r="BB67" s="135"/>
      <c r="BC67" s="135"/>
      <c r="BD67" s="135"/>
      <c r="BE67" s="135"/>
      <c r="BF67" s="135"/>
      <c r="BG67" s="135"/>
      <c r="BH67" s="135"/>
      <c r="BI67" s="135"/>
      <c r="BJ67" s="135"/>
      <c r="BK67" s="135"/>
      <c r="BL67" s="135"/>
      <c r="BM67" s="135"/>
      <c r="BN67" s="135"/>
      <c r="BO67" s="135"/>
      <c r="BP67" s="135"/>
      <c r="BQ67" s="135"/>
      <c r="BR67" s="135"/>
      <c r="BS67" s="135"/>
      <c r="BT67" s="135"/>
      <c r="BU67" s="135"/>
      <c r="BV67" s="135"/>
      <c r="BW67" s="135"/>
      <c r="BX67" s="135"/>
      <c r="BY67" s="135"/>
      <c r="BZ67" s="135"/>
      <c r="CA67" s="135"/>
      <c r="CB67" s="135"/>
      <c r="CC67" s="135"/>
      <c r="CD67" s="135"/>
      <c r="CE67" s="135"/>
      <c r="CF67" s="135"/>
      <c r="CG67" s="135"/>
      <c r="CH67" s="135"/>
      <c r="CI67" s="135"/>
      <c r="CJ67" s="135"/>
      <c r="CK67" s="135"/>
      <c r="CL67" s="135"/>
      <c r="CM67" s="135"/>
      <c r="CN67" s="135"/>
      <c r="CO67" s="135"/>
      <c r="CP67" s="135"/>
      <c r="CQ67" s="135"/>
      <c r="CR67" s="135"/>
      <c r="CS67" s="135"/>
      <c r="CT67" s="135"/>
      <c r="CU67" s="135"/>
      <c r="CV67" s="135"/>
      <c r="CW67" s="135"/>
      <c r="CX67" s="136"/>
    </row>
    <row r="68" spans="2:102">
      <c r="B68" s="133"/>
      <c r="C68" s="135"/>
      <c r="D68" s="135"/>
      <c r="E68" s="135"/>
      <c r="F68" s="135"/>
      <c r="G68" s="135"/>
      <c r="H68" s="135" t="s">
        <v>109</v>
      </c>
      <c r="I68" s="135"/>
      <c r="J68" s="135"/>
      <c r="K68" s="135"/>
      <c r="L68" s="135"/>
      <c r="M68" s="135"/>
      <c r="N68" s="135" t="s">
        <v>110</v>
      </c>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c r="AV68" s="135"/>
      <c r="AW68" s="135"/>
      <c r="AX68" s="135"/>
      <c r="AY68" s="135"/>
      <c r="AZ68" s="135"/>
      <c r="BA68" s="135"/>
      <c r="BB68" s="135"/>
      <c r="BC68" s="135"/>
      <c r="BD68" s="135"/>
      <c r="BE68" s="135"/>
      <c r="BF68" s="135"/>
      <c r="BG68" s="135"/>
      <c r="BH68" s="135"/>
      <c r="BI68" s="135"/>
      <c r="BJ68" s="135"/>
      <c r="BK68" s="135"/>
      <c r="BL68" s="135"/>
      <c r="BM68" s="135"/>
      <c r="BN68" s="135"/>
      <c r="BO68" s="135"/>
      <c r="BP68" s="135"/>
      <c r="BQ68" s="135"/>
      <c r="BR68" s="135"/>
      <c r="BS68" s="135"/>
      <c r="BT68" s="135"/>
      <c r="BU68" s="135"/>
      <c r="BV68" s="135"/>
      <c r="BW68" s="135"/>
      <c r="BX68" s="135"/>
      <c r="BY68" s="135"/>
      <c r="BZ68" s="135"/>
      <c r="CA68" s="135"/>
      <c r="CB68" s="135"/>
      <c r="CC68" s="135"/>
      <c r="CD68" s="135"/>
      <c r="CE68" s="135"/>
      <c r="CF68" s="135"/>
      <c r="CG68" s="135"/>
      <c r="CH68" s="135"/>
      <c r="CI68" s="135"/>
      <c r="CJ68" s="135"/>
      <c r="CK68" s="135"/>
      <c r="CL68" s="135"/>
      <c r="CM68" s="135"/>
      <c r="CN68" s="135"/>
      <c r="CO68" s="135"/>
      <c r="CP68" s="135"/>
      <c r="CQ68" s="135"/>
      <c r="CR68" s="135"/>
      <c r="CS68" s="135"/>
      <c r="CT68" s="135"/>
      <c r="CU68" s="135"/>
      <c r="CV68" s="135"/>
      <c r="CW68" s="135"/>
      <c r="CX68" s="136"/>
    </row>
    <row r="69" spans="2:102">
      <c r="B69" s="133"/>
      <c r="C69" s="135"/>
      <c r="D69" s="135"/>
      <c r="E69" s="135"/>
      <c r="F69" s="135"/>
      <c r="G69" s="135"/>
      <c r="H69" s="135" t="s">
        <v>111</v>
      </c>
      <c r="I69" s="135"/>
      <c r="J69" s="135"/>
      <c r="K69" s="135"/>
      <c r="L69" s="135"/>
      <c r="M69" s="135"/>
      <c r="N69" s="135" t="s">
        <v>112</v>
      </c>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c r="AV69" s="135"/>
      <c r="AW69" s="135"/>
      <c r="AX69" s="135"/>
      <c r="AY69" s="135"/>
      <c r="AZ69" s="135"/>
      <c r="BA69" s="135"/>
      <c r="BB69" s="135"/>
      <c r="BC69" s="135"/>
      <c r="BD69" s="135"/>
      <c r="BE69" s="135"/>
      <c r="BF69" s="135"/>
      <c r="BG69" s="135"/>
      <c r="BH69" s="135"/>
      <c r="BI69" s="135"/>
      <c r="BJ69" s="135"/>
      <c r="BK69" s="135"/>
      <c r="BL69" s="135"/>
      <c r="BM69" s="135"/>
      <c r="BN69" s="135"/>
      <c r="BO69" s="135"/>
      <c r="BP69" s="135"/>
      <c r="BQ69" s="135"/>
      <c r="BR69" s="135"/>
      <c r="BS69" s="135"/>
      <c r="BT69" s="135"/>
      <c r="BU69" s="135"/>
      <c r="BV69" s="135"/>
      <c r="BW69" s="135"/>
      <c r="BX69" s="135"/>
      <c r="BY69" s="135"/>
      <c r="BZ69" s="135"/>
      <c r="CA69" s="135"/>
      <c r="CB69" s="135"/>
      <c r="CC69" s="135"/>
      <c r="CD69" s="135"/>
      <c r="CE69" s="135"/>
      <c r="CF69" s="135"/>
      <c r="CG69" s="135"/>
      <c r="CH69" s="135"/>
      <c r="CI69" s="135"/>
      <c r="CJ69" s="135"/>
      <c r="CK69" s="135"/>
      <c r="CL69" s="135"/>
      <c r="CM69" s="135"/>
      <c r="CN69" s="135"/>
      <c r="CO69" s="135"/>
      <c r="CP69" s="135"/>
      <c r="CQ69" s="135"/>
      <c r="CR69" s="135"/>
      <c r="CS69" s="135"/>
      <c r="CT69" s="135"/>
      <c r="CU69" s="135"/>
      <c r="CV69" s="135"/>
      <c r="CW69" s="135"/>
      <c r="CX69" s="136"/>
    </row>
    <row r="70" spans="2:102">
      <c r="B70" s="133"/>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135"/>
      <c r="AU70" s="135"/>
      <c r="AV70" s="135"/>
      <c r="AW70" s="135"/>
      <c r="AX70" s="135"/>
      <c r="AY70" s="135"/>
      <c r="AZ70" s="135"/>
      <c r="BA70" s="135"/>
      <c r="BB70" s="135"/>
      <c r="BC70" s="135"/>
      <c r="BD70" s="135"/>
      <c r="BE70" s="135"/>
      <c r="BF70" s="135"/>
      <c r="BG70" s="135"/>
      <c r="BH70" s="135"/>
      <c r="BI70" s="135"/>
      <c r="BJ70" s="135"/>
      <c r="BK70" s="135"/>
      <c r="BL70" s="135"/>
      <c r="BM70" s="135"/>
      <c r="BN70" s="135"/>
      <c r="BO70" s="135"/>
      <c r="BP70" s="135"/>
      <c r="BQ70" s="135"/>
      <c r="BR70" s="135"/>
      <c r="BS70" s="135"/>
      <c r="BT70" s="135"/>
      <c r="BU70" s="135"/>
      <c r="BV70" s="135"/>
      <c r="BW70" s="135"/>
      <c r="BX70" s="135"/>
      <c r="BY70" s="135"/>
      <c r="BZ70" s="135"/>
      <c r="CA70" s="135"/>
      <c r="CB70" s="135"/>
      <c r="CC70" s="135"/>
      <c r="CD70" s="135"/>
      <c r="CE70" s="135"/>
      <c r="CF70" s="135"/>
      <c r="CG70" s="135"/>
      <c r="CH70" s="135"/>
      <c r="CI70" s="135"/>
      <c r="CJ70" s="135"/>
      <c r="CK70" s="135"/>
      <c r="CL70" s="135"/>
      <c r="CM70" s="135"/>
      <c r="CN70" s="135"/>
      <c r="CO70" s="135"/>
      <c r="CP70" s="135"/>
      <c r="CQ70" s="135"/>
      <c r="CR70" s="135"/>
      <c r="CS70" s="135"/>
      <c r="CT70" s="135"/>
      <c r="CU70" s="135"/>
      <c r="CV70" s="135"/>
      <c r="CW70" s="135"/>
      <c r="CX70" s="136"/>
    </row>
    <row r="71" spans="2:102">
      <c r="B71" s="133"/>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c r="AV71" s="135"/>
      <c r="AW71" s="135"/>
      <c r="AX71" s="135"/>
      <c r="AY71" s="135"/>
      <c r="AZ71" s="135"/>
      <c r="BA71" s="135"/>
      <c r="BB71" s="135"/>
      <c r="BC71" s="135"/>
      <c r="BD71" s="135"/>
      <c r="BE71" s="135"/>
      <c r="BF71" s="135"/>
      <c r="BG71" s="135"/>
      <c r="BH71" s="135"/>
      <c r="BI71" s="135"/>
      <c r="BJ71" s="135"/>
      <c r="BK71" s="135"/>
      <c r="BL71" s="135"/>
      <c r="BM71" s="135"/>
      <c r="BN71" s="135"/>
      <c r="BO71" s="135"/>
      <c r="BP71" s="135"/>
      <c r="BQ71" s="135"/>
      <c r="BR71" s="135"/>
      <c r="BS71" s="135"/>
      <c r="BT71" s="135"/>
      <c r="BU71" s="135"/>
      <c r="BV71" s="135"/>
      <c r="BW71" s="135"/>
      <c r="BX71" s="135"/>
      <c r="BY71" s="135"/>
      <c r="BZ71" s="135"/>
      <c r="CA71" s="135"/>
      <c r="CB71" s="135"/>
      <c r="CC71" s="135"/>
      <c r="CD71" s="135"/>
      <c r="CE71" s="135"/>
      <c r="CF71" s="135"/>
      <c r="CG71" s="135"/>
      <c r="CH71" s="135"/>
      <c r="CI71" s="135"/>
      <c r="CJ71" s="135"/>
      <c r="CK71" s="135"/>
      <c r="CL71" s="135"/>
      <c r="CM71" s="135"/>
      <c r="CN71" s="135"/>
      <c r="CO71" s="135"/>
      <c r="CP71" s="135"/>
      <c r="CQ71" s="135"/>
      <c r="CR71" s="135"/>
      <c r="CS71" s="135"/>
      <c r="CT71" s="135"/>
      <c r="CU71" s="135"/>
      <c r="CV71" s="135"/>
      <c r="CW71" s="135"/>
      <c r="CX71" s="136"/>
    </row>
    <row r="72" spans="2:102">
      <c r="B72" s="133"/>
      <c r="C72" s="135"/>
      <c r="D72" s="135"/>
      <c r="E72" s="137" t="s">
        <v>113</v>
      </c>
      <c r="F72" s="138"/>
      <c r="G72" s="138"/>
      <c r="H72" s="138" t="s">
        <v>114</v>
      </c>
      <c r="I72" s="138"/>
      <c r="J72" s="138"/>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c r="AW72" s="135"/>
      <c r="AX72" s="135"/>
      <c r="AY72" s="135"/>
      <c r="AZ72" s="135"/>
      <c r="BA72" s="135"/>
      <c r="BB72" s="135"/>
      <c r="BC72" s="135"/>
      <c r="BD72" s="135"/>
      <c r="BE72" s="135"/>
      <c r="BF72" s="135"/>
      <c r="BG72" s="135"/>
      <c r="BH72" s="135"/>
      <c r="BI72" s="135"/>
      <c r="BJ72" s="135"/>
      <c r="BK72" s="135"/>
      <c r="BL72" s="135"/>
      <c r="BM72" s="135"/>
      <c r="BN72" s="135"/>
      <c r="BO72" s="135"/>
      <c r="BP72" s="135"/>
      <c r="BQ72" s="135"/>
      <c r="BR72" s="135"/>
      <c r="BS72" s="135"/>
      <c r="BT72" s="135"/>
      <c r="BU72" s="135"/>
      <c r="BV72" s="135"/>
      <c r="BW72" s="135"/>
      <c r="BX72" s="135"/>
      <c r="BY72" s="135"/>
      <c r="BZ72" s="135"/>
      <c r="CA72" s="135"/>
      <c r="CB72" s="135"/>
      <c r="CC72" s="135"/>
      <c r="CD72" s="135"/>
      <c r="CE72" s="135"/>
      <c r="CF72" s="135"/>
      <c r="CG72" s="135"/>
      <c r="CH72" s="135"/>
      <c r="CI72" s="135"/>
      <c r="CJ72" s="135"/>
      <c r="CK72" s="135"/>
      <c r="CL72" s="135"/>
      <c r="CM72" s="135"/>
      <c r="CN72" s="135"/>
      <c r="CO72" s="135"/>
      <c r="CP72" s="135"/>
      <c r="CQ72" s="135"/>
      <c r="CR72" s="135"/>
      <c r="CS72" s="135"/>
      <c r="CT72" s="135"/>
      <c r="CU72" s="135"/>
      <c r="CV72" s="135"/>
      <c r="CW72" s="135"/>
      <c r="CX72" s="136"/>
    </row>
    <row r="73" spans="2:102">
      <c r="B73" s="133"/>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c r="AV73" s="135"/>
      <c r="AW73" s="135"/>
      <c r="AX73" s="135"/>
      <c r="AY73" s="135"/>
      <c r="AZ73" s="135"/>
      <c r="BA73" s="135"/>
      <c r="BB73" s="135"/>
      <c r="BC73" s="135"/>
      <c r="BD73" s="135"/>
      <c r="BE73" s="135"/>
      <c r="BF73" s="135"/>
      <c r="BG73" s="135"/>
      <c r="BH73" s="135"/>
      <c r="BI73" s="135"/>
      <c r="BJ73" s="135"/>
      <c r="BK73" s="135"/>
      <c r="BL73" s="135"/>
      <c r="BM73" s="135"/>
      <c r="BN73" s="135"/>
      <c r="BO73" s="135"/>
      <c r="BP73" s="135"/>
      <c r="BQ73" s="135"/>
      <c r="BR73" s="135"/>
      <c r="BS73" s="135"/>
      <c r="BT73" s="135"/>
      <c r="BU73" s="135"/>
      <c r="BV73" s="135"/>
      <c r="BW73" s="135"/>
      <c r="BX73" s="135"/>
      <c r="BY73" s="135"/>
      <c r="BZ73" s="135"/>
      <c r="CA73" s="135"/>
      <c r="CB73" s="135"/>
      <c r="CC73" s="135"/>
      <c r="CD73" s="135"/>
      <c r="CE73" s="135"/>
      <c r="CF73" s="135"/>
      <c r="CG73" s="135"/>
      <c r="CH73" s="135"/>
      <c r="CI73" s="135"/>
      <c r="CJ73" s="135"/>
      <c r="CK73" s="135"/>
      <c r="CL73" s="135"/>
      <c r="CM73" s="135"/>
      <c r="CN73" s="135"/>
      <c r="CO73" s="135"/>
      <c r="CP73" s="135"/>
      <c r="CQ73" s="135"/>
      <c r="CR73" s="135"/>
      <c r="CS73" s="135"/>
      <c r="CT73" s="135"/>
      <c r="CU73" s="135"/>
      <c r="CV73" s="135"/>
      <c r="CW73" s="135"/>
      <c r="CX73" s="136"/>
    </row>
    <row r="74" spans="2:102">
      <c r="B74" s="133"/>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c r="AV74" s="135"/>
      <c r="AW74" s="135"/>
      <c r="AX74" s="135"/>
      <c r="AY74" s="135"/>
      <c r="AZ74" s="135"/>
      <c r="BA74" s="135"/>
      <c r="BB74" s="135"/>
      <c r="BC74" s="135"/>
      <c r="BD74" s="135"/>
      <c r="BE74" s="135"/>
      <c r="BF74" s="135"/>
      <c r="BG74" s="135"/>
      <c r="BH74" s="135"/>
      <c r="BI74" s="135"/>
      <c r="BJ74" s="135"/>
      <c r="BK74" s="135"/>
      <c r="BL74" s="135"/>
      <c r="BM74" s="135"/>
      <c r="BN74" s="135"/>
      <c r="BO74" s="135"/>
      <c r="BP74" s="135"/>
      <c r="BQ74" s="135"/>
      <c r="BR74" s="135"/>
      <c r="BS74" s="135"/>
      <c r="BT74" s="135"/>
      <c r="BU74" s="135"/>
      <c r="BV74" s="135"/>
      <c r="BW74" s="135"/>
      <c r="BX74" s="135"/>
      <c r="BY74" s="135"/>
      <c r="BZ74" s="135"/>
      <c r="CA74" s="135"/>
      <c r="CB74" s="135"/>
      <c r="CC74" s="135"/>
      <c r="CD74" s="135"/>
      <c r="CE74" s="135"/>
      <c r="CF74" s="135"/>
      <c r="CG74" s="135"/>
      <c r="CH74" s="135"/>
      <c r="CI74" s="135"/>
      <c r="CJ74" s="135"/>
      <c r="CK74" s="135"/>
      <c r="CL74" s="135"/>
      <c r="CM74" s="135"/>
      <c r="CN74" s="135"/>
      <c r="CO74" s="135"/>
      <c r="CP74" s="135"/>
      <c r="CQ74" s="135"/>
      <c r="CR74" s="135"/>
      <c r="CS74" s="135"/>
      <c r="CT74" s="135"/>
      <c r="CU74" s="135"/>
      <c r="CV74" s="135"/>
      <c r="CW74" s="135"/>
      <c r="CX74" s="136"/>
    </row>
    <row r="75" spans="2:102">
      <c r="B75" s="133"/>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c r="AB75" s="135"/>
      <c r="AC75" s="135"/>
      <c r="AD75" s="135"/>
      <c r="AE75" s="135"/>
      <c r="AF75" s="135"/>
      <c r="AG75" s="135"/>
      <c r="AH75" s="135"/>
      <c r="AI75" s="135"/>
      <c r="AJ75" s="135"/>
      <c r="AK75" s="135"/>
      <c r="AL75" s="135"/>
      <c r="AM75" s="135"/>
      <c r="AN75" s="135"/>
      <c r="AO75" s="135"/>
      <c r="AP75" s="135"/>
      <c r="AQ75" s="135"/>
      <c r="AR75" s="135"/>
      <c r="AS75" s="135"/>
      <c r="AT75" s="135"/>
      <c r="AU75" s="135"/>
      <c r="AV75" s="135"/>
      <c r="AW75" s="135"/>
      <c r="AX75" s="135"/>
      <c r="AY75" s="135"/>
      <c r="AZ75" s="135"/>
      <c r="BA75" s="135"/>
      <c r="BB75" s="135"/>
      <c r="BC75" s="135"/>
      <c r="BD75" s="135"/>
      <c r="BE75" s="135"/>
      <c r="BF75" s="135"/>
      <c r="BG75" s="135"/>
      <c r="BH75" s="135"/>
      <c r="BI75" s="135"/>
      <c r="BJ75" s="135"/>
      <c r="BK75" s="135"/>
      <c r="BL75" s="135"/>
      <c r="BM75" s="135"/>
      <c r="BN75" s="135"/>
      <c r="BO75" s="135"/>
      <c r="BP75" s="135"/>
      <c r="BQ75" s="135"/>
      <c r="BR75" s="135"/>
      <c r="BS75" s="135"/>
      <c r="BT75" s="135"/>
      <c r="BU75" s="135"/>
      <c r="BV75" s="135"/>
      <c r="BW75" s="135"/>
      <c r="BX75" s="135"/>
      <c r="BY75" s="135"/>
      <c r="BZ75" s="135"/>
      <c r="CA75" s="135"/>
      <c r="CB75" s="135"/>
      <c r="CC75" s="135"/>
      <c r="CD75" s="135"/>
      <c r="CE75" s="135"/>
      <c r="CF75" s="135"/>
      <c r="CG75" s="135"/>
      <c r="CH75" s="135"/>
      <c r="CI75" s="135"/>
      <c r="CJ75" s="135"/>
      <c r="CK75" s="135"/>
      <c r="CL75" s="135"/>
      <c r="CM75" s="135"/>
      <c r="CN75" s="135"/>
      <c r="CO75" s="135"/>
      <c r="CP75" s="135"/>
      <c r="CQ75" s="135"/>
      <c r="CR75" s="135"/>
      <c r="CS75" s="135"/>
      <c r="CT75" s="135"/>
      <c r="CU75" s="135"/>
      <c r="CV75" s="135"/>
      <c r="CW75" s="135"/>
      <c r="CX75" s="136"/>
    </row>
    <row r="76" spans="2:102">
      <c r="B76" s="133"/>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35"/>
      <c r="AZ76" s="135"/>
      <c r="BA76" s="135"/>
      <c r="BB76" s="135"/>
      <c r="BC76" s="135"/>
      <c r="BD76" s="135"/>
      <c r="BE76" s="135"/>
      <c r="BF76" s="135"/>
      <c r="BG76" s="135"/>
      <c r="BH76" s="135"/>
      <c r="BI76" s="135"/>
      <c r="BJ76" s="135"/>
      <c r="BK76" s="135"/>
      <c r="BL76" s="135"/>
      <c r="BM76" s="135"/>
      <c r="BN76" s="135"/>
      <c r="BO76" s="135"/>
      <c r="BP76" s="135"/>
      <c r="BQ76" s="135"/>
      <c r="BR76" s="135"/>
      <c r="BS76" s="135"/>
      <c r="BT76" s="135"/>
      <c r="BU76" s="135"/>
      <c r="BV76" s="135"/>
      <c r="BW76" s="135"/>
      <c r="BX76" s="135"/>
      <c r="BY76" s="135"/>
      <c r="BZ76" s="135"/>
      <c r="CA76" s="135"/>
      <c r="CB76" s="135"/>
      <c r="CC76" s="135"/>
      <c r="CD76" s="135"/>
      <c r="CE76" s="135"/>
      <c r="CF76" s="135"/>
      <c r="CG76" s="135"/>
      <c r="CH76" s="135"/>
      <c r="CI76" s="135"/>
      <c r="CJ76" s="135"/>
      <c r="CK76" s="135"/>
      <c r="CL76" s="135"/>
      <c r="CM76" s="135"/>
      <c r="CN76" s="135"/>
      <c r="CO76" s="135"/>
      <c r="CP76" s="135"/>
      <c r="CQ76" s="135"/>
      <c r="CR76" s="135"/>
      <c r="CS76" s="135"/>
      <c r="CT76" s="135"/>
      <c r="CU76" s="135"/>
      <c r="CV76" s="135"/>
      <c r="CW76" s="135"/>
      <c r="CX76" s="136"/>
    </row>
    <row r="77" spans="2:102">
      <c r="B77" s="133"/>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5"/>
      <c r="BQ77" s="135"/>
      <c r="BR77" s="135"/>
      <c r="BS77" s="135"/>
      <c r="BT77" s="135"/>
      <c r="BU77" s="135"/>
      <c r="BV77" s="135"/>
      <c r="BW77" s="135"/>
      <c r="BX77" s="135"/>
      <c r="BY77" s="135"/>
      <c r="BZ77" s="135"/>
      <c r="CA77" s="135"/>
      <c r="CB77" s="135"/>
      <c r="CC77" s="135"/>
      <c r="CD77" s="135"/>
      <c r="CE77" s="135"/>
      <c r="CF77" s="135"/>
      <c r="CG77" s="135"/>
      <c r="CH77" s="135"/>
      <c r="CI77" s="135"/>
      <c r="CJ77" s="135"/>
      <c r="CK77" s="135"/>
      <c r="CL77" s="135"/>
      <c r="CM77" s="135"/>
      <c r="CN77" s="135"/>
      <c r="CO77" s="135"/>
      <c r="CP77" s="135"/>
      <c r="CQ77" s="135"/>
      <c r="CR77" s="135"/>
      <c r="CS77" s="135"/>
      <c r="CT77" s="135"/>
      <c r="CU77" s="135"/>
      <c r="CV77" s="135"/>
      <c r="CW77" s="135"/>
      <c r="CX77" s="136"/>
    </row>
    <row r="78" spans="2:102">
      <c r="B78" s="133"/>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135"/>
      <c r="BG78" s="135"/>
      <c r="BH78" s="135"/>
      <c r="BI78" s="135"/>
      <c r="BJ78" s="135"/>
      <c r="BK78" s="135"/>
      <c r="BL78" s="135"/>
      <c r="BM78" s="135"/>
      <c r="BN78" s="135"/>
      <c r="BO78" s="135"/>
      <c r="BP78" s="135"/>
      <c r="BQ78" s="135"/>
      <c r="BR78" s="135"/>
      <c r="BS78" s="135"/>
      <c r="BT78" s="135"/>
      <c r="BU78" s="135"/>
      <c r="BV78" s="135"/>
      <c r="BW78" s="135"/>
      <c r="BX78" s="135"/>
      <c r="BY78" s="135"/>
      <c r="BZ78" s="135"/>
      <c r="CA78" s="135"/>
      <c r="CB78" s="135"/>
      <c r="CC78" s="135"/>
      <c r="CD78" s="135"/>
      <c r="CE78" s="135"/>
      <c r="CF78" s="135"/>
      <c r="CG78" s="135"/>
      <c r="CH78" s="135"/>
      <c r="CI78" s="135"/>
      <c r="CJ78" s="135"/>
      <c r="CK78" s="135"/>
      <c r="CL78" s="135"/>
      <c r="CM78" s="135"/>
      <c r="CN78" s="135"/>
      <c r="CO78" s="135"/>
      <c r="CP78" s="135"/>
      <c r="CQ78" s="135"/>
      <c r="CR78" s="135"/>
      <c r="CS78" s="135"/>
      <c r="CT78" s="135"/>
      <c r="CU78" s="135"/>
      <c r="CV78" s="135"/>
      <c r="CW78" s="135"/>
      <c r="CX78" s="136"/>
    </row>
    <row r="79" spans="2:102">
      <c r="B79" s="133"/>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35"/>
      <c r="AZ79" s="135"/>
      <c r="BA79" s="135"/>
      <c r="BB79" s="135"/>
      <c r="BC79" s="135"/>
      <c r="BD79" s="135"/>
      <c r="BE79" s="135"/>
      <c r="BF79" s="135"/>
      <c r="BG79" s="135"/>
      <c r="BH79" s="135"/>
      <c r="BI79" s="135"/>
      <c r="BJ79" s="135"/>
      <c r="BK79" s="135"/>
      <c r="BL79" s="135"/>
      <c r="BM79" s="135"/>
      <c r="BN79" s="135"/>
      <c r="BO79" s="135"/>
      <c r="BP79" s="135"/>
      <c r="BQ79" s="135"/>
      <c r="BR79" s="135"/>
      <c r="BS79" s="135"/>
      <c r="BT79" s="135"/>
      <c r="BU79" s="135"/>
      <c r="BV79" s="135"/>
      <c r="BW79" s="135"/>
      <c r="BX79" s="135"/>
      <c r="BY79" s="135"/>
      <c r="BZ79" s="135"/>
      <c r="CA79" s="135"/>
      <c r="CB79" s="135"/>
      <c r="CC79" s="135"/>
      <c r="CD79" s="135"/>
      <c r="CE79" s="135"/>
      <c r="CF79" s="135"/>
      <c r="CG79" s="135"/>
      <c r="CH79" s="135"/>
      <c r="CI79" s="135"/>
      <c r="CJ79" s="135"/>
      <c r="CK79" s="135"/>
      <c r="CL79" s="135"/>
      <c r="CM79" s="135"/>
      <c r="CN79" s="135"/>
      <c r="CO79" s="135"/>
      <c r="CP79" s="135"/>
      <c r="CQ79" s="135"/>
      <c r="CR79" s="135"/>
      <c r="CS79" s="135"/>
      <c r="CT79" s="135"/>
      <c r="CU79" s="135"/>
      <c r="CV79" s="135"/>
      <c r="CW79" s="135"/>
      <c r="CX79" s="136"/>
    </row>
    <row r="80" spans="2:102">
      <c r="B80" s="133"/>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35"/>
      <c r="AZ80" s="135"/>
      <c r="BA80" s="135"/>
      <c r="BB80" s="135"/>
      <c r="BC80" s="135"/>
      <c r="BD80" s="135"/>
      <c r="BE80" s="135"/>
      <c r="BF80" s="135"/>
      <c r="BG80" s="135"/>
      <c r="BH80" s="135"/>
      <c r="BI80" s="135"/>
      <c r="BJ80" s="135"/>
      <c r="BK80" s="135"/>
      <c r="BL80" s="135"/>
      <c r="BM80" s="135"/>
      <c r="BN80" s="135"/>
      <c r="BO80" s="135"/>
      <c r="BP80" s="135"/>
      <c r="BQ80" s="135"/>
      <c r="BR80" s="135"/>
      <c r="BS80" s="135"/>
      <c r="BT80" s="135"/>
      <c r="BU80" s="135"/>
      <c r="BV80" s="135"/>
      <c r="BW80" s="135"/>
      <c r="BX80" s="135"/>
      <c r="BY80" s="135"/>
      <c r="BZ80" s="135"/>
      <c r="CA80" s="135"/>
      <c r="CB80" s="135"/>
      <c r="CC80" s="135"/>
      <c r="CD80" s="135"/>
      <c r="CE80" s="135"/>
      <c r="CF80" s="135"/>
      <c r="CG80" s="135"/>
      <c r="CH80" s="135"/>
      <c r="CI80" s="135"/>
      <c r="CJ80" s="135"/>
      <c r="CK80" s="135"/>
      <c r="CL80" s="135"/>
      <c r="CM80" s="135"/>
      <c r="CN80" s="135"/>
      <c r="CO80" s="135"/>
      <c r="CP80" s="135"/>
      <c r="CQ80" s="135"/>
      <c r="CR80" s="135"/>
      <c r="CS80" s="135"/>
      <c r="CT80" s="135"/>
      <c r="CU80" s="135"/>
      <c r="CV80" s="135"/>
      <c r="CW80" s="135"/>
      <c r="CX80" s="136"/>
    </row>
    <row r="81" spans="2:102">
      <c r="B81" s="133"/>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35"/>
      <c r="AZ81" s="135"/>
      <c r="BA81" s="135"/>
      <c r="BB81" s="135"/>
      <c r="BC81" s="135"/>
      <c r="BD81" s="135"/>
      <c r="BE81" s="135"/>
      <c r="BF81" s="135"/>
      <c r="BG81" s="135"/>
      <c r="BH81" s="135"/>
      <c r="BI81" s="135"/>
      <c r="BJ81" s="135"/>
      <c r="BK81" s="135"/>
      <c r="BL81" s="135"/>
      <c r="BM81" s="135"/>
      <c r="BN81" s="135"/>
      <c r="BO81" s="135"/>
      <c r="BP81" s="135"/>
      <c r="BQ81" s="135"/>
      <c r="BR81" s="135"/>
      <c r="BS81" s="135"/>
      <c r="BT81" s="135"/>
      <c r="BU81" s="135"/>
      <c r="BV81" s="135"/>
      <c r="BW81" s="135"/>
      <c r="BX81" s="135"/>
      <c r="BY81" s="135"/>
      <c r="BZ81" s="135"/>
      <c r="CA81" s="135"/>
      <c r="CB81" s="135"/>
      <c r="CC81" s="135"/>
      <c r="CD81" s="135"/>
      <c r="CE81" s="135"/>
      <c r="CF81" s="135"/>
      <c r="CG81" s="135"/>
      <c r="CH81" s="135"/>
      <c r="CI81" s="135"/>
      <c r="CJ81" s="135"/>
      <c r="CK81" s="135"/>
      <c r="CL81" s="135"/>
      <c r="CM81" s="135"/>
      <c r="CN81" s="135"/>
      <c r="CO81" s="135"/>
      <c r="CP81" s="135"/>
      <c r="CQ81" s="135"/>
      <c r="CR81" s="135"/>
      <c r="CS81" s="135"/>
      <c r="CT81" s="135"/>
      <c r="CU81" s="135"/>
      <c r="CV81" s="135"/>
      <c r="CW81" s="135"/>
      <c r="CX81" s="136"/>
    </row>
    <row r="82" spans="2:102">
      <c r="B82" s="133"/>
      <c r="C82" s="135"/>
      <c r="D82" s="135"/>
      <c r="E82" s="135"/>
      <c r="F82" s="135"/>
      <c r="G82" s="135"/>
      <c r="H82" s="135" t="s">
        <v>107</v>
      </c>
      <c r="I82" s="135"/>
      <c r="J82" s="135"/>
      <c r="K82" s="135"/>
      <c r="L82" s="135"/>
      <c r="M82" s="135"/>
      <c r="N82" s="135" t="s">
        <v>115</v>
      </c>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135"/>
      <c r="CE82" s="135"/>
      <c r="CF82" s="135"/>
      <c r="CG82" s="135"/>
      <c r="CH82" s="135"/>
      <c r="CI82" s="135"/>
      <c r="CJ82" s="135"/>
      <c r="CK82" s="135"/>
      <c r="CL82" s="135"/>
      <c r="CM82" s="135"/>
      <c r="CN82" s="135"/>
      <c r="CO82" s="135"/>
      <c r="CP82" s="135"/>
      <c r="CQ82" s="135"/>
      <c r="CR82" s="135"/>
      <c r="CS82" s="135"/>
      <c r="CT82" s="135"/>
      <c r="CU82" s="135"/>
      <c r="CV82" s="135"/>
      <c r="CW82" s="135"/>
      <c r="CX82" s="136"/>
    </row>
    <row r="83" spans="2:102">
      <c r="B83" s="133"/>
      <c r="C83" s="135"/>
      <c r="D83" s="135"/>
      <c r="E83" s="135"/>
      <c r="F83" s="135"/>
      <c r="G83" s="135"/>
      <c r="H83" s="135" t="s">
        <v>109</v>
      </c>
      <c r="I83" s="135"/>
      <c r="J83" s="135"/>
      <c r="K83" s="135"/>
      <c r="L83" s="135"/>
      <c r="M83" s="135"/>
      <c r="N83" s="135" t="s">
        <v>116</v>
      </c>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35"/>
      <c r="AZ83" s="135"/>
      <c r="BA83" s="135"/>
      <c r="BB83" s="135"/>
      <c r="BC83" s="135"/>
      <c r="BD83" s="135"/>
      <c r="BE83" s="135"/>
      <c r="BF83" s="135"/>
      <c r="BG83" s="135"/>
      <c r="BH83" s="135"/>
      <c r="BI83" s="135"/>
      <c r="BJ83" s="135"/>
      <c r="BK83" s="135"/>
      <c r="BL83" s="135"/>
      <c r="BM83" s="135"/>
      <c r="BN83" s="135"/>
      <c r="BO83" s="135"/>
      <c r="BP83" s="135"/>
      <c r="BQ83" s="135"/>
      <c r="BR83" s="135"/>
      <c r="BS83" s="135"/>
      <c r="BT83" s="135"/>
      <c r="BU83" s="135"/>
      <c r="BV83" s="135"/>
      <c r="BW83" s="135"/>
      <c r="BX83" s="135"/>
      <c r="BY83" s="135"/>
      <c r="BZ83" s="135"/>
      <c r="CA83" s="135"/>
      <c r="CB83" s="135"/>
      <c r="CC83" s="135"/>
      <c r="CD83" s="135"/>
      <c r="CE83" s="135"/>
      <c r="CF83" s="135"/>
      <c r="CG83" s="135"/>
      <c r="CH83" s="135"/>
      <c r="CI83" s="135"/>
      <c r="CJ83" s="135"/>
      <c r="CK83" s="135"/>
      <c r="CL83" s="135"/>
      <c r="CM83" s="135"/>
      <c r="CN83" s="135"/>
      <c r="CO83" s="135"/>
      <c r="CP83" s="135"/>
      <c r="CQ83" s="135"/>
      <c r="CR83" s="135"/>
      <c r="CS83" s="135"/>
      <c r="CT83" s="135"/>
      <c r="CU83" s="135"/>
      <c r="CV83" s="135"/>
      <c r="CW83" s="135"/>
      <c r="CX83" s="136"/>
    </row>
    <row r="84" spans="2:102">
      <c r="B84" s="133"/>
      <c r="C84" s="135"/>
      <c r="D84" s="135"/>
      <c r="E84" s="135"/>
      <c r="F84" s="135"/>
      <c r="G84" s="135"/>
      <c r="H84" s="135" t="s">
        <v>111</v>
      </c>
      <c r="I84" s="135"/>
      <c r="J84" s="135"/>
      <c r="K84" s="135"/>
      <c r="L84" s="135"/>
      <c r="M84" s="135"/>
      <c r="N84" s="135" t="s">
        <v>117</v>
      </c>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35"/>
      <c r="AZ84" s="135"/>
      <c r="BA84" s="135"/>
      <c r="BB84" s="135"/>
      <c r="BC84" s="135"/>
      <c r="BD84" s="135"/>
      <c r="BE84" s="135"/>
      <c r="BF84" s="135"/>
      <c r="BG84" s="135"/>
      <c r="BH84" s="135"/>
      <c r="BI84" s="135"/>
      <c r="BJ84" s="135"/>
      <c r="BK84" s="135"/>
      <c r="BL84" s="135"/>
      <c r="BM84" s="135"/>
      <c r="BN84" s="135"/>
      <c r="BO84" s="135"/>
      <c r="BP84" s="135"/>
      <c r="BQ84" s="135"/>
      <c r="BR84" s="135"/>
      <c r="BS84" s="135"/>
      <c r="BT84" s="135"/>
      <c r="BU84" s="135"/>
      <c r="BV84" s="135"/>
      <c r="BW84" s="135"/>
      <c r="BX84" s="135"/>
      <c r="BY84" s="135"/>
      <c r="BZ84" s="135"/>
      <c r="CA84" s="135"/>
      <c r="CB84" s="135"/>
      <c r="CC84" s="135"/>
      <c r="CD84" s="135"/>
      <c r="CE84" s="135"/>
      <c r="CF84" s="135"/>
      <c r="CG84" s="135"/>
      <c r="CH84" s="135"/>
      <c r="CI84" s="135"/>
      <c r="CJ84" s="135"/>
      <c r="CK84" s="135"/>
      <c r="CL84" s="135"/>
      <c r="CM84" s="135"/>
      <c r="CN84" s="135"/>
      <c r="CO84" s="135"/>
      <c r="CP84" s="135"/>
      <c r="CQ84" s="135"/>
      <c r="CR84" s="135"/>
      <c r="CS84" s="135"/>
      <c r="CT84" s="135"/>
      <c r="CU84" s="135"/>
      <c r="CV84" s="135"/>
      <c r="CW84" s="135"/>
      <c r="CX84" s="136"/>
    </row>
    <row r="85" spans="2:102">
      <c r="B85" s="133"/>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35"/>
      <c r="AZ85" s="135"/>
      <c r="BA85" s="135"/>
      <c r="BB85" s="135"/>
      <c r="BC85" s="135"/>
      <c r="BD85" s="135"/>
      <c r="BE85" s="135"/>
      <c r="BF85" s="135"/>
      <c r="BG85" s="135"/>
      <c r="BH85" s="135"/>
      <c r="BI85" s="135"/>
      <c r="BJ85" s="135"/>
      <c r="BK85" s="135"/>
      <c r="BL85" s="135"/>
      <c r="BM85" s="135"/>
      <c r="BN85" s="135"/>
      <c r="BO85" s="135"/>
      <c r="BP85" s="135"/>
      <c r="BQ85" s="135"/>
      <c r="BR85" s="135"/>
      <c r="BS85" s="135"/>
      <c r="BT85" s="135"/>
      <c r="BU85" s="135"/>
      <c r="BV85" s="135"/>
      <c r="BW85" s="135"/>
      <c r="BX85" s="135"/>
      <c r="BY85" s="135"/>
      <c r="BZ85" s="135"/>
      <c r="CA85" s="135"/>
      <c r="CB85" s="135"/>
      <c r="CC85" s="135"/>
      <c r="CD85" s="135"/>
      <c r="CE85" s="135"/>
      <c r="CF85" s="135"/>
      <c r="CG85" s="135"/>
      <c r="CH85" s="135"/>
      <c r="CI85" s="135"/>
      <c r="CJ85" s="135"/>
      <c r="CK85" s="135"/>
      <c r="CL85" s="135"/>
      <c r="CM85" s="135"/>
      <c r="CN85" s="135"/>
      <c r="CO85" s="135"/>
      <c r="CP85" s="135"/>
      <c r="CQ85" s="135"/>
      <c r="CR85" s="135"/>
      <c r="CS85" s="135"/>
      <c r="CT85" s="135"/>
      <c r="CU85" s="135"/>
      <c r="CV85" s="135"/>
      <c r="CW85" s="135"/>
      <c r="CX85" s="136"/>
    </row>
    <row r="86" spans="2:102">
      <c r="B86" s="133"/>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c r="BC86" s="135"/>
      <c r="BD86" s="135"/>
      <c r="BE86" s="135"/>
      <c r="BF86" s="135"/>
      <c r="BG86" s="135"/>
      <c r="BH86" s="135"/>
      <c r="BI86" s="135"/>
      <c r="BJ86" s="135"/>
      <c r="BK86" s="135"/>
      <c r="BL86" s="135"/>
      <c r="BM86" s="135"/>
      <c r="BN86" s="135"/>
      <c r="BO86" s="135"/>
      <c r="BP86" s="135"/>
      <c r="BQ86" s="135"/>
      <c r="BR86" s="135"/>
      <c r="BS86" s="135"/>
      <c r="BT86" s="135"/>
      <c r="BU86" s="135"/>
      <c r="BV86" s="135"/>
      <c r="BW86" s="135"/>
      <c r="BX86" s="135"/>
      <c r="BY86" s="135"/>
      <c r="BZ86" s="135"/>
      <c r="CA86" s="135"/>
      <c r="CB86" s="135"/>
      <c r="CC86" s="135"/>
      <c r="CD86" s="135"/>
      <c r="CE86" s="135"/>
      <c r="CF86" s="135"/>
      <c r="CG86" s="135"/>
      <c r="CH86" s="135"/>
      <c r="CI86" s="135"/>
      <c r="CJ86" s="135"/>
      <c r="CK86" s="135"/>
      <c r="CL86" s="135"/>
      <c r="CM86" s="135"/>
      <c r="CN86" s="135"/>
      <c r="CO86" s="135"/>
      <c r="CP86" s="135"/>
      <c r="CQ86" s="135"/>
      <c r="CR86" s="135"/>
      <c r="CS86" s="135"/>
      <c r="CT86" s="135"/>
      <c r="CU86" s="135"/>
      <c r="CV86" s="135"/>
      <c r="CW86" s="135"/>
      <c r="CX86" s="136"/>
    </row>
    <row r="87" spans="2:102">
      <c r="B87" s="133"/>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X87" s="135"/>
      <c r="BY87" s="135"/>
      <c r="BZ87" s="135"/>
      <c r="CA87" s="135"/>
      <c r="CB87" s="135"/>
      <c r="CC87" s="135"/>
      <c r="CD87" s="135"/>
      <c r="CE87" s="135"/>
      <c r="CF87" s="135"/>
      <c r="CG87" s="135"/>
      <c r="CH87" s="135"/>
      <c r="CI87" s="135"/>
      <c r="CJ87" s="135"/>
      <c r="CK87" s="135"/>
      <c r="CL87" s="135"/>
      <c r="CM87" s="135"/>
      <c r="CN87" s="135"/>
      <c r="CO87" s="135"/>
      <c r="CP87" s="135"/>
      <c r="CQ87" s="135"/>
      <c r="CR87" s="135"/>
      <c r="CS87" s="135"/>
      <c r="CT87" s="135"/>
      <c r="CU87" s="135"/>
      <c r="CV87" s="135"/>
      <c r="CW87" s="135"/>
      <c r="CX87" s="136"/>
    </row>
    <row r="88" spans="2:102">
      <c r="B88" s="133"/>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X88" s="135"/>
      <c r="BY88" s="135"/>
      <c r="BZ88" s="135"/>
      <c r="CA88" s="135"/>
      <c r="CB88" s="135"/>
      <c r="CC88" s="135"/>
      <c r="CD88" s="135"/>
      <c r="CE88" s="135"/>
      <c r="CF88" s="135"/>
      <c r="CG88" s="135"/>
      <c r="CH88" s="135"/>
      <c r="CI88" s="135"/>
      <c r="CJ88" s="135"/>
      <c r="CK88" s="135"/>
      <c r="CL88" s="135"/>
      <c r="CM88" s="135"/>
      <c r="CN88" s="135"/>
      <c r="CO88" s="135"/>
      <c r="CP88" s="135"/>
      <c r="CQ88" s="135"/>
      <c r="CR88" s="135"/>
      <c r="CS88" s="135"/>
      <c r="CT88" s="135"/>
      <c r="CU88" s="135"/>
      <c r="CV88" s="135"/>
      <c r="CW88" s="135"/>
      <c r="CX88" s="136"/>
    </row>
    <row r="89" spans="2:102">
      <c r="B89" s="133"/>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c r="BC89" s="135"/>
      <c r="BD89" s="135"/>
      <c r="BE89" s="135"/>
      <c r="BF89" s="135"/>
      <c r="BG89" s="135"/>
      <c r="BH89" s="135"/>
      <c r="BI89" s="135"/>
      <c r="BJ89" s="135"/>
      <c r="BK89" s="135"/>
      <c r="BL89" s="135"/>
      <c r="BM89" s="135"/>
      <c r="BN89" s="135"/>
      <c r="BO89" s="135"/>
      <c r="BP89" s="135"/>
      <c r="BQ89" s="135"/>
      <c r="BR89" s="135"/>
      <c r="BS89" s="135"/>
      <c r="BT89" s="135"/>
      <c r="BU89" s="135"/>
      <c r="BV89" s="135"/>
      <c r="BW89" s="135"/>
      <c r="BX89" s="135"/>
      <c r="BY89" s="135"/>
      <c r="BZ89" s="135"/>
      <c r="CA89" s="135"/>
      <c r="CB89" s="135"/>
      <c r="CC89" s="135"/>
      <c r="CD89" s="135"/>
      <c r="CE89" s="135"/>
      <c r="CF89" s="135"/>
      <c r="CG89" s="135"/>
      <c r="CH89" s="135"/>
      <c r="CI89" s="135"/>
      <c r="CJ89" s="135"/>
      <c r="CK89" s="135"/>
      <c r="CL89" s="135"/>
      <c r="CM89" s="135"/>
      <c r="CN89" s="135"/>
      <c r="CO89" s="135"/>
      <c r="CP89" s="135"/>
      <c r="CQ89" s="135"/>
      <c r="CR89" s="135"/>
      <c r="CS89" s="135"/>
      <c r="CT89" s="135"/>
      <c r="CU89" s="135"/>
      <c r="CV89" s="135"/>
      <c r="CW89" s="135"/>
      <c r="CX89" s="136"/>
    </row>
    <row r="90" spans="2:102">
      <c r="B90" s="133"/>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c r="BC90" s="135"/>
      <c r="BD90" s="135"/>
      <c r="BE90" s="135"/>
      <c r="BF90" s="135"/>
      <c r="BG90" s="135"/>
      <c r="BH90" s="135"/>
      <c r="BI90" s="135"/>
      <c r="BJ90" s="135"/>
      <c r="BK90" s="135"/>
      <c r="BL90" s="135"/>
      <c r="BM90" s="135"/>
      <c r="BN90" s="135"/>
      <c r="BO90" s="135"/>
      <c r="BP90" s="135"/>
      <c r="BQ90" s="135"/>
      <c r="BR90" s="135"/>
      <c r="BS90" s="135"/>
      <c r="BT90" s="135"/>
      <c r="BU90" s="135"/>
      <c r="BV90" s="135"/>
      <c r="BW90" s="135"/>
      <c r="BX90" s="135"/>
      <c r="BY90" s="135"/>
      <c r="BZ90" s="135"/>
      <c r="CA90" s="135"/>
      <c r="CB90" s="135"/>
      <c r="CC90" s="135"/>
      <c r="CD90" s="135"/>
      <c r="CE90" s="135"/>
      <c r="CF90" s="135"/>
      <c r="CG90" s="135"/>
      <c r="CH90" s="135"/>
      <c r="CI90" s="135"/>
      <c r="CJ90" s="135"/>
      <c r="CK90" s="135"/>
      <c r="CL90" s="135"/>
      <c r="CM90" s="135"/>
      <c r="CN90" s="135"/>
      <c r="CO90" s="135"/>
      <c r="CP90" s="135"/>
      <c r="CQ90" s="135"/>
      <c r="CR90" s="135"/>
      <c r="CS90" s="135"/>
      <c r="CT90" s="135"/>
      <c r="CU90" s="135"/>
      <c r="CV90" s="135"/>
      <c r="CW90" s="135"/>
      <c r="CX90" s="136"/>
    </row>
    <row r="91" spans="2:102">
      <c r="B91" s="130"/>
      <c r="C91" s="131"/>
      <c r="D91" s="131"/>
      <c r="E91" s="131"/>
      <c r="F91" s="131"/>
      <c r="G91" s="131"/>
      <c r="H91" s="131"/>
      <c r="I91" s="131"/>
      <c r="J91" s="131"/>
      <c r="K91" s="131"/>
      <c r="L91" s="131"/>
      <c r="M91" s="131"/>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c r="AP91" s="131"/>
      <c r="AQ91" s="131"/>
      <c r="AR91" s="131"/>
      <c r="AS91" s="131"/>
      <c r="AT91" s="131"/>
      <c r="AU91" s="131"/>
      <c r="AV91" s="131"/>
      <c r="AW91" s="131"/>
      <c r="AX91" s="131"/>
      <c r="AY91" s="131"/>
      <c r="AZ91" s="131"/>
      <c r="BA91" s="131"/>
      <c r="BB91" s="131"/>
      <c r="BC91" s="131"/>
      <c r="BD91" s="131"/>
      <c r="BE91" s="131"/>
      <c r="BF91" s="131"/>
      <c r="BG91" s="131"/>
      <c r="BH91" s="131"/>
      <c r="BI91" s="131"/>
      <c r="BJ91" s="131"/>
      <c r="BK91" s="131"/>
      <c r="BL91" s="131"/>
      <c r="BM91" s="131"/>
      <c r="BN91" s="131"/>
      <c r="BO91" s="131"/>
      <c r="BP91" s="131"/>
      <c r="BQ91" s="131"/>
      <c r="BR91" s="131"/>
      <c r="BS91" s="131"/>
      <c r="BT91" s="131"/>
      <c r="BU91" s="131"/>
      <c r="BV91" s="131"/>
      <c r="BW91" s="131"/>
      <c r="BX91" s="131"/>
      <c r="BY91" s="131"/>
      <c r="BZ91" s="131"/>
      <c r="CA91" s="131"/>
      <c r="CB91" s="131"/>
      <c r="CC91" s="131"/>
      <c r="CD91" s="131"/>
      <c r="CE91" s="131"/>
      <c r="CF91" s="131"/>
      <c r="CG91" s="131"/>
      <c r="CH91" s="131"/>
      <c r="CI91" s="131"/>
      <c r="CJ91" s="131"/>
      <c r="CK91" s="131"/>
      <c r="CL91" s="131"/>
      <c r="CM91" s="131"/>
      <c r="CN91" s="131"/>
      <c r="CO91" s="131"/>
      <c r="CP91" s="131"/>
      <c r="CQ91" s="131"/>
      <c r="CR91" s="131"/>
      <c r="CS91" s="131"/>
      <c r="CT91" s="131"/>
      <c r="CU91" s="131"/>
      <c r="CV91" s="131"/>
      <c r="CW91" s="131"/>
      <c r="CX91" s="132"/>
    </row>
    <row r="92" spans="2:102">
      <c r="B92" s="133"/>
      <c r="C92" s="135"/>
      <c r="D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c r="BC92" s="135"/>
      <c r="BD92" s="135"/>
      <c r="BE92" s="135"/>
      <c r="BF92" s="135"/>
      <c r="BG92" s="135"/>
      <c r="BH92" s="135"/>
      <c r="BI92" s="135"/>
      <c r="BJ92" s="135"/>
      <c r="BK92" s="135"/>
      <c r="BL92" s="135"/>
      <c r="BM92" s="135"/>
      <c r="BN92" s="135"/>
      <c r="BO92" s="135"/>
      <c r="BP92" s="135"/>
      <c r="BQ92" s="135"/>
      <c r="BR92" s="135"/>
      <c r="BS92" s="135"/>
      <c r="BT92" s="135"/>
      <c r="BU92" s="135"/>
      <c r="BV92" s="135"/>
      <c r="BW92" s="135"/>
      <c r="BX92" s="135"/>
      <c r="BY92" s="135"/>
      <c r="BZ92" s="135"/>
      <c r="CA92" s="135"/>
      <c r="CB92" s="135"/>
      <c r="CC92" s="135"/>
      <c r="CD92" s="135"/>
      <c r="CE92" s="135"/>
      <c r="CF92" s="135"/>
      <c r="CG92" s="135"/>
      <c r="CH92" s="135"/>
      <c r="CI92" s="135"/>
      <c r="CJ92" s="135"/>
      <c r="CK92" s="135"/>
      <c r="CL92" s="135"/>
      <c r="CM92" s="135"/>
      <c r="CN92" s="135"/>
      <c r="CO92" s="135"/>
      <c r="CP92" s="135"/>
      <c r="CQ92" s="135"/>
      <c r="CR92" s="135"/>
      <c r="CS92" s="135"/>
      <c r="CT92" s="135"/>
      <c r="CU92" s="135"/>
      <c r="CV92" s="135"/>
      <c r="CW92" s="135"/>
      <c r="CX92" s="136"/>
    </row>
    <row r="93" spans="2:102">
      <c r="B93" s="133"/>
      <c r="C93" s="135"/>
      <c r="D93" s="135"/>
      <c r="E93" s="137" t="s">
        <v>118</v>
      </c>
      <c r="F93" s="138"/>
      <c r="G93" s="138"/>
      <c r="H93" s="138" t="s">
        <v>119</v>
      </c>
      <c r="I93" s="138"/>
      <c r="J93" s="138"/>
      <c r="K93" s="138"/>
      <c r="L93" s="138"/>
      <c r="M93" s="138"/>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c r="BC93" s="135"/>
      <c r="BD93" s="135"/>
      <c r="BE93" s="135"/>
      <c r="BF93" s="135"/>
      <c r="BG93" s="135"/>
      <c r="BH93" s="135"/>
      <c r="BI93" s="135"/>
      <c r="BJ93" s="135"/>
      <c r="BK93" s="135"/>
      <c r="BL93" s="135"/>
      <c r="BM93" s="135"/>
      <c r="BN93" s="135"/>
      <c r="BO93" s="135"/>
      <c r="BP93" s="135"/>
      <c r="BQ93" s="135"/>
      <c r="BR93" s="135"/>
      <c r="BS93" s="135"/>
      <c r="BT93" s="135"/>
      <c r="BU93" s="135"/>
      <c r="BV93" s="135"/>
      <c r="BW93" s="135"/>
      <c r="BX93" s="135"/>
      <c r="BY93" s="135"/>
      <c r="BZ93" s="135"/>
      <c r="CA93" s="135"/>
      <c r="CB93" s="135"/>
      <c r="CC93" s="135"/>
      <c r="CD93" s="135"/>
      <c r="CE93" s="135"/>
      <c r="CF93" s="135"/>
      <c r="CG93" s="135"/>
      <c r="CH93" s="135"/>
      <c r="CI93" s="135"/>
      <c r="CJ93" s="135"/>
      <c r="CK93" s="135"/>
      <c r="CL93" s="135"/>
      <c r="CM93" s="135"/>
      <c r="CN93" s="135"/>
      <c r="CO93" s="135"/>
      <c r="CP93" s="135"/>
      <c r="CQ93" s="135"/>
      <c r="CR93" s="135"/>
      <c r="CS93" s="135"/>
      <c r="CT93" s="135"/>
      <c r="CU93" s="135"/>
      <c r="CV93" s="135"/>
      <c r="CW93" s="135"/>
      <c r="CX93" s="136"/>
    </row>
    <row r="94" spans="2:102">
      <c r="B94" s="133"/>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c r="BC94" s="135"/>
      <c r="BD94" s="135"/>
      <c r="BE94" s="135"/>
      <c r="BF94" s="135"/>
      <c r="BG94" s="135"/>
      <c r="BH94" s="135"/>
      <c r="BI94" s="135"/>
      <c r="BJ94" s="135"/>
      <c r="BK94" s="135"/>
      <c r="BL94" s="135"/>
      <c r="BM94" s="135"/>
      <c r="BN94" s="135"/>
      <c r="BO94" s="135"/>
      <c r="BP94" s="135"/>
      <c r="BQ94" s="135"/>
      <c r="BR94" s="135"/>
      <c r="BS94" s="135"/>
      <c r="BT94" s="135"/>
      <c r="BU94" s="135"/>
      <c r="BV94" s="135"/>
      <c r="BW94" s="135"/>
      <c r="BX94" s="135"/>
      <c r="BY94" s="135"/>
      <c r="BZ94" s="135"/>
      <c r="CA94" s="135"/>
      <c r="CB94" s="135"/>
      <c r="CC94" s="135"/>
      <c r="CD94" s="135"/>
      <c r="CE94" s="135"/>
      <c r="CF94" s="135"/>
      <c r="CG94" s="135"/>
      <c r="CH94" s="135"/>
      <c r="CI94" s="135"/>
      <c r="CJ94" s="135"/>
      <c r="CK94" s="135"/>
      <c r="CL94" s="135"/>
      <c r="CM94" s="135"/>
      <c r="CN94" s="135"/>
      <c r="CO94" s="135"/>
      <c r="CP94" s="135"/>
      <c r="CQ94" s="135"/>
      <c r="CR94" s="135"/>
      <c r="CS94" s="135"/>
      <c r="CT94" s="135"/>
      <c r="CU94" s="135"/>
      <c r="CV94" s="135"/>
      <c r="CW94" s="135"/>
      <c r="CX94" s="136"/>
    </row>
    <row r="95" spans="2:102">
      <c r="B95" s="133"/>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c r="BC95" s="135"/>
      <c r="BD95" s="135"/>
      <c r="BE95" s="135"/>
      <c r="BF95" s="135"/>
      <c r="BG95" s="135"/>
      <c r="BH95" s="135"/>
      <c r="BI95" s="135"/>
      <c r="BJ95" s="135"/>
      <c r="BK95" s="135"/>
      <c r="BL95" s="135"/>
      <c r="BM95" s="135"/>
      <c r="BN95" s="135"/>
      <c r="BO95" s="135"/>
      <c r="BP95" s="135"/>
      <c r="BQ95" s="135"/>
      <c r="BR95" s="135"/>
      <c r="BS95" s="135"/>
      <c r="BT95" s="135"/>
      <c r="BU95" s="135"/>
      <c r="BV95" s="135"/>
      <c r="BW95" s="135"/>
      <c r="BX95" s="135"/>
      <c r="BY95" s="135"/>
      <c r="BZ95" s="135"/>
      <c r="CA95" s="135"/>
      <c r="CB95" s="135"/>
      <c r="CC95" s="135"/>
      <c r="CD95" s="135"/>
      <c r="CE95" s="135"/>
      <c r="CF95" s="135"/>
      <c r="CG95" s="135"/>
      <c r="CH95" s="135"/>
      <c r="CI95" s="135"/>
      <c r="CJ95" s="135"/>
      <c r="CK95" s="135"/>
      <c r="CL95" s="135"/>
      <c r="CM95" s="135"/>
      <c r="CN95" s="135"/>
      <c r="CO95" s="135"/>
      <c r="CP95" s="135"/>
      <c r="CQ95" s="135"/>
      <c r="CR95" s="135"/>
      <c r="CS95" s="135"/>
      <c r="CT95" s="135"/>
      <c r="CU95" s="135"/>
      <c r="CV95" s="135"/>
      <c r="CW95" s="135"/>
      <c r="CX95" s="136"/>
    </row>
    <row r="96" spans="2:102">
      <c r="B96" s="133"/>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135"/>
      <c r="BX96" s="135"/>
      <c r="BY96" s="135"/>
      <c r="BZ96" s="135"/>
      <c r="CA96" s="135"/>
      <c r="CB96" s="135"/>
      <c r="CC96" s="135"/>
      <c r="CD96" s="135"/>
      <c r="CE96" s="135"/>
      <c r="CF96" s="135"/>
      <c r="CG96" s="135"/>
      <c r="CH96" s="135"/>
      <c r="CI96" s="135"/>
      <c r="CJ96" s="135"/>
      <c r="CK96" s="135"/>
      <c r="CL96" s="135"/>
      <c r="CM96" s="135"/>
      <c r="CN96" s="135"/>
      <c r="CO96" s="135"/>
      <c r="CP96" s="135"/>
      <c r="CQ96" s="135"/>
      <c r="CR96" s="135"/>
      <c r="CS96" s="135"/>
      <c r="CT96" s="135"/>
      <c r="CU96" s="135"/>
      <c r="CV96" s="135"/>
      <c r="CW96" s="135"/>
      <c r="CX96" s="136"/>
    </row>
    <row r="97" spans="2:102">
      <c r="B97" s="133"/>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c r="BC97" s="135"/>
      <c r="BD97" s="135"/>
      <c r="BE97" s="135"/>
      <c r="BF97" s="135"/>
      <c r="BG97" s="135"/>
      <c r="BH97" s="135"/>
      <c r="BI97" s="135"/>
      <c r="BJ97" s="135"/>
      <c r="BK97" s="135"/>
      <c r="BL97" s="135"/>
      <c r="BM97" s="135"/>
      <c r="BN97" s="135"/>
      <c r="BO97" s="135"/>
      <c r="BP97" s="135"/>
      <c r="BQ97" s="135"/>
      <c r="BR97" s="135"/>
      <c r="BS97" s="135"/>
      <c r="BT97" s="135"/>
      <c r="BU97" s="135"/>
      <c r="BV97" s="135"/>
      <c r="BW97" s="135"/>
      <c r="BX97" s="135"/>
      <c r="BY97" s="135"/>
      <c r="BZ97" s="135"/>
      <c r="CA97" s="135"/>
      <c r="CB97" s="135"/>
      <c r="CC97" s="135"/>
      <c r="CD97" s="135"/>
      <c r="CE97" s="135"/>
      <c r="CF97" s="135"/>
      <c r="CG97" s="135"/>
      <c r="CH97" s="135"/>
      <c r="CI97" s="135"/>
      <c r="CJ97" s="135"/>
      <c r="CK97" s="135"/>
      <c r="CL97" s="135"/>
      <c r="CM97" s="135"/>
      <c r="CN97" s="135"/>
      <c r="CO97" s="135"/>
      <c r="CP97" s="135"/>
      <c r="CQ97" s="135"/>
      <c r="CR97" s="135"/>
      <c r="CS97" s="135"/>
      <c r="CT97" s="135"/>
      <c r="CU97" s="135"/>
      <c r="CV97" s="135"/>
      <c r="CW97" s="135"/>
      <c r="CX97" s="136"/>
    </row>
    <row r="98" spans="2:102">
      <c r="B98" s="133"/>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c r="BC98" s="135"/>
      <c r="BD98" s="135"/>
      <c r="BE98" s="135"/>
      <c r="BF98" s="135"/>
      <c r="BG98" s="135"/>
      <c r="BH98" s="135"/>
      <c r="BI98" s="135"/>
      <c r="BJ98" s="135"/>
      <c r="BK98" s="135"/>
      <c r="BL98" s="135"/>
      <c r="BM98" s="135"/>
      <c r="BN98" s="135"/>
      <c r="BO98" s="135"/>
      <c r="BP98" s="135"/>
      <c r="BQ98" s="135"/>
      <c r="BR98" s="135"/>
      <c r="BS98" s="135"/>
      <c r="BT98" s="135"/>
      <c r="BU98" s="135"/>
      <c r="BV98" s="135"/>
      <c r="BW98" s="135"/>
      <c r="BX98" s="135"/>
      <c r="BY98" s="135"/>
      <c r="BZ98" s="135"/>
      <c r="CA98" s="135"/>
      <c r="CB98" s="135"/>
      <c r="CC98" s="135"/>
      <c r="CD98" s="135"/>
      <c r="CE98" s="135"/>
      <c r="CF98" s="135"/>
      <c r="CG98" s="135"/>
      <c r="CH98" s="135"/>
      <c r="CI98" s="135"/>
      <c r="CJ98" s="135"/>
      <c r="CK98" s="135"/>
      <c r="CL98" s="135"/>
      <c r="CM98" s="135"/>
      <c r="CN98" s="135"/>
      <c r="CO98" s="135"/>
      <c r="CP98" s="135"/>
      <c r="CQ98" s="135"/>
      <c r="CR98" s="135"/>
      <c r="CS98" s="135"/>
      <c r="CT98" s="135"/>
      <c r="CU98" s="135"/>
      <c r="CV98" s="135"/>
      <c r="CW98" s="135"/>
      <c r="CX98" s="136"/>
    </row>
    <row r="99" spans="2:102">
      <c r="B99" s="133"/>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135"/>
      <c r="BX99" s="135"/>
      <c r="BY99" s="135"/>
      <c r="BZ99" s="135"/>
      <c r="CA99" s="135"/>
      <c r="CB99" s="135"/>
      <c r="CC99" s="135"/>
      <c r="CD99" s="135"/>
      <c r="CE99" s="135"/>
      <c r="CF99" s="135"/>
      <c r="CG99" s="135"/>
      <c r="CH99" s="135"/>
      <c r="CI99" s="135"/>
      <c r="CJ99" s="135"/>
      <c r="CK99" s="135"/>
      <c r="CL99" s="135"/>
      <c r="CM99" s="135"/>
      <c r="CN99" s="135"/>
      <c r="CO99" s="135"/>
      <c r="CP99" s="135"/>
      <c r="CQ99" s="135"/>
      <c r="CR99" s="135"/>
      <c r="CS99" s="135"/>
      <c r="CT99" s="135"/>
      <c r="CU99" s="135"/>
      <c r="CV99" s="135"/>
      <c r="CW99" s="135"/>
      <c r="CX99" s="136"/>
    </row>
    <row r="100" spans="2:102">
      <c r="B100" s="133"/>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5"/>
      <c r="CH100" s="135"/>
      <c r="CI100" s="135"/>
      <c r="CJ100" s="135"/>
      <c r="CK100" s="135"/>
      <c r="CL100" s="135"/>
      <c r="CM100" s="135"/>
      <c r="CN100" s="135"/>
      <c r="CO100" s="135"/>
      <c r="CP100" s="135"/>
      <c r="CQ100" s="135"/>
      <c r="CR100" s="135"/>
      <c r="CS100" s="135"/>
      <c r="CT100" s="135"/>
      <c r="CU100" s="135"/>
      <c r="CV100" s="135"/>
      <c r="CW100" s="135"/>
      <c r="CX100" s="136"/>
    </row>
    <row r="101" spans="2:102">
      <c r="B101" s="133"/>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135"/>
      <c r="BX101" s="135"/>
      <c r="BY101" s="135"/>
      <c r="BZ101" s="135"/>
      <c r="CA101" s="135"/>
      <c r="CB101" s="135"/>
      <c r="CC101" s="135"/>
      <c r="CD101" s="135"/>
      <c r="CE101" s="135"/>
      <c r="CF101" s="135"/>
      <c r="CG101" s="135"/>
      <c r="CH101" s="135"/>
      <c r="CI101" s="135"/>
      <c r="CJ101" s="135"/>
      <c r="CK101" s="135"/>
      <c r="CL101" s="135"/>
      <c r="CM101" s="135"/>
      <c r="CN101" s="135"/>
      <c r="CO101" s="135"/>
      <c r="CP101" s="135"/>
      <c r="CQ101" s="135"/>
      <c r="CR101" s="135"/>
      <c r="CS101" s="135"/>
      <c r="CT101" s="135"/>
      <c r="CU101" s="135"/>
      <c r="CV101" s="135"/>
      <c r="CW101" s="135"/>
      <c r="CX101" s="136"/>
    </row>
    <row r="102" spans="2:102">
      <c r="B102" s="133"/>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c r="BC102" s="135"/>
      <c r="BD102" s="135"/>
      <c r="BE102" s="135"/>
      <c r="BF102" s="135"/>
      <c r="BG102" s="135"/>
      <c r="BH102" s="135"/>
      <c r="BI102" s="135"/>
      <c r="BJ102" s="135"/>
      <c r="BK102" s="135"/>
      <c r="BL102" s="135"/>
      <c r="BM102" s="135"/>
      <c r="BN102" s="135"/>
      <c r="BO102" s="135"/>
      <c r="BP102" s="135"/>
      <c r="BQ102" s="135"/>
      <c r="BR102" s="135"/>
      <c r="BS102" s="135"/>
      <c r="BT102" s="135"/>
      <c r="BU102" s="135"/>
      <c r="BV102" s="135"/>
      <c r="BW102" s="135"/>
      <c r="BX102" s="135"/>
      <c r="BY102" s="135"/>
      <c r="BZ102" s="135"/>
      <c r="CA102" s="135"/>
      <c r="CB102" s="135"/>
      <c r="CC102" s="135"/>
      <c r="CD102" s="135"/>
      <c r="CE102" s="135"/>
      <c r="CF102" s="135"/>
      <c r="CG102" s="135"/>
      <c r="CH102" s="135"/>
      <c r="CI102" s="135"/>
      <c r="CJ102" s="135"/>
      <c r="CK102" s="135"/>
      <c r="CL102" s="135"/>
      <c r="CM102" s="135"/>
      <c r="CN102" s="135"/>
      <c r="CO102" s="135"/>
      <c r="CP102" s="135"/>
      <c r="CQ102" s="135"/>
      <c r="CR102" s="135"/>
      <c r="CS102" s="135"/>
      <c r="CT102" s="135"/>
      <c r="CU102" s="135"/>
      <c r="CV102" s="135"/>
      <c r="CW102" s="135"/>
      <c r="CX102" s="136"/>
    </row>
    <row r="103" spans="2:102">
      <c r="B103" s="133"/>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135"/>
      <c r="CE103" s="135"/>
      <c r="CF103" s="135"/>
      <c r="CG103" s="135"/>
      <c r="CH103" s="135"/>
      <c r="CI103" s="135"/>
      <c r="CJ103" s="135"/>
      <c r="CK103" s="135"/>
      <c r="CL103" s="135"/>
      <c r="CM103" s="135"/>
      <c r="CN103" s="135"/>
      <c r="CO103" s="135"/>
      <c r="CP103" s="135"/>
      <c r="CQ103" s="135"/>
      <c r="CR103" s="135"/>
      <c r="CS103" s="135"/>
      <c r="CT103" s="135"/>
      <c r="CU103" s="135"/>
      <c r="CV103" s="135"/>
      <c r="CW103" s="135"/>
      <c r="CX103" s="136"/>
    </row>
    <row r="104" spans="2:102">
      <c r="B104" s="133"/>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c r="BC104" s="135"/>
      <c r="BD104" s="135"/>
      <c r="BE104" s="135"/>
      <c r="BF104" s="135"/>
      <c r="BG104" s="135"/>
      <c r="BH104" s="135"/>
      <c r="BI104" s="135"/>
      <c r="BJ104" s="135"/>
      <c r="BK104" s="135"/>
      <c r="BL104" s="135"/>
      <c r="BM104" s="135"/>
      <c r="BN104" s="135"/>
      <c r="BO104" s="135"/>
      <c r="BP104" s="135"/>
      <c r="BQ104" s="135"/>
      <c r="BR104" s="135"/>
      <c r="BS104" s="135"/>
      <c r="BT104" s="135"/>
      <c r="BU104" s="135"/>
      <c r="BV104" s="135"/>
      <c r="BW104" s="135"/>
      <c r="BX104" s="135"/>
      <c r="BY104" s="135"/>
      <c r="BZ104" s="135"/>
      <c r="CA104" s="135"/>
      <c r="CB104" s="135"/>
      <c r="CC104" s="135"/>
      <c r="CD104" s="135"/>
      <c r="CE104" s="135"/>
      <c r="CF104" s="135"/>
      <c r="CG104" s="135"/>
      <c r="CH104" s="135"/>
      <c r="CI104" s="135"/>
      <c r="CJ104" s="135"/>
      <c r="CK104" s="135"/>
      <c r="CL104" s="135"/>
      <c r="CM104" s="135"/>
      <c r="CN104" s="135"/>
      <c r="CO104" s="135"/>
      <c r="CP104" s="135"/>
      <c r="CQ104" s="135"/>
      <c r="CR104" s="135"/>
      <c r="CS104" s="135"/>
      <c r="CT104" s="135"/>
      <c r="CU104" s="135"/>
      <c r="CV104" s="135"/>
      <c r="CW104" s="135"/>
      <c r="CX104" s="136"/>
    </row>
    <row r="105" spans="2:102">
      <c r="B105" s="133"/>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135"/>
      <c r="BX105" s="135"/>
      <c r="BY105" s="135"/>
      <c r="BZ105" s="135"/>
      <c r="CA105" s="135"/>
      <c r="CB105" s="135"/>
      <c r="CC105" s="135"/>
      <c r="CD105" s="135"/>
      <c r="CE105" s="135"/>
      <c r="CF105" s="135"/>
      <c r="CG105" s="135"/>
      <c r="CH105" s="135"/>
      <c r="CI105" s="135"/>
      <c r="CJ105" s="135"/>
      <c r="CK105" s="135"/>
      <c r="CL105" s="135"/>
      <c r="CM105" s="135"/>
      <c r="CN105" s="135"/>
      <c r="CO105" s="135"/>
      <c r="CP105" s="135"/>
      <c r="CQ105" s="135"/>
      <c r="CR105" s="135"/>
      <c r="CS105" s="135"/>
      <c r="CT105" s="135"/>
      <c r="CU105" s="135"/>
      <c r="CV105" s="135"/>
      <c r="CW105" s="135"/>
      <c r="CX105" s="136"/>
    </row>
    <row r="106" spans="2:102">
      <c r="B106" s="133"/>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c r="BC106" s="135"/>
      <c r="BD106" s="135"/>
      <c r="BE106" s="135"/>
      <c r="BF106" s="135"/>
      <c r="BG106" s="135"/>
      <c r="BH106" s="135"/>
      <c r="BI106" s="135"/>
      <c r="BJ106" s="135"/>
      <c r="BK106" s="135"/>
      <c r="BL106" s="135"/>
      <c r="BM106" s="135"/>
      <c r="BN106" s="135"/>
      <c r="BO106" s="135"/>
      <c r="BP106" s="135"/>
      <c r="BQ106" s="135"/>
      <c r="BR106" s="135"/>
      <c r="BS106" s="135"/>
      <c r="BT106" s="135"/>
      <c r="BU106" s="135"/>
      <c r="BV106" s="135"/>
      <c r="BW106" s="135"/>
      <c r="BX106" s="135"/>
      <c r="BY106" s="135"/>
      <c r="BZ106" s="135"/>
      <c r="CA106" s="135"/>
      <c r="CB106" s="135"/>
      <c r="CC106" s="135"/>
      <c r="CD106" s="135"/>
      <c r="CE106" s="135"/>
      <c r="CF106" s="135"/>
      <c r="CG106" s="135"/>
      <c r="CH106" s="135"/>
      <c r="CI106" s="135"/>
      <c r="CJ106" s="135"/>
      <c r="CK106" s="135"/>
      <c r="CL106" s="135"/>
      <c r="CM106" s="135"/>
      <c r="CN106" s="135"/>
      <c r="CO106" s="135"/>
      <c r="CP106" s="135"/>
      <c r="CQ106" s="135"/>
      <c r="CR106" s="135"/>
      <c r="CS106" s="135"/>
      <c r="CT106" s="135"/>
      <c r="CU106" s="135"/>
      <c r="CV106" s="135"/>
      <c r="CW106" s="135"/>
      <c r="CX106" s="136"/>
    </row>
    <row r="107" spans="2:102">
      <c r="B107" s="133"/>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135"/>
      <c r="CE107" s="135"/>
      <c r="CF107" s="135"/>
      <c r="CG107" s="135"/>
      <c r="CH107" s="135"/>
      <c r="CI107" s="135"/>
      <c r="CJ107" s="135"/>
      <c r="CK107" s="135"/>
      <c r="CL107" s="135"/>
      <c r="CM107" s="135"/>
      <c r="CN107" s="135"/>
      <c r="CO107" s="135"/>
      <c r="CP107" s="135"/>
      <c r="CQ107" s="135"/>
      <c r="CR107" s="135"/>
      <c r="CS107" s="135"/>
      <c r="CT107" s="135"/>
      <c r="CU107" s="135"/>
      <c r="CV107" s="135"/>
      <c r="CW107" s="135"/>
      <c r="CX107" s="136"/>
    </row>
    <row r="108" spans="2:102">
      <c r="B108" s="133"/>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c r="BC108" s="135"/>
      <c r="BD108" s="135"/>
      <c r="BE108" s="135"/>
      <c r="BF108" s="135"/>
      <c r="BG108" s="135"/>
      <c r="BH108" s="135"/>
      <c r="BI108" s="135"/>
      <c r="BJ108" s="135"/>
      <c r="BK108" s="135"/>
      <c r="BL108" s="135"/>
      <c r="BM108" s="135"/>
      <c r="BN108" s="135"/>
      <c r="BO108" s="135"/>
      <c r="BP108" s="135"/>
      <c r="BQ108" s="135"/>
      <c r="BR108" s="135"/>
      <c r="BS108" s="135"/>
      <c r="BT108" s="135"/>
      <c r="BU108" s="135"/>
      <c r="BV108" s="135"/>
      <c r="BW108" s="135"/>
      <c r="BX108" s="135"/>
      <c r="BY108" s="135"/>
      <c r="BZ108" s="135"/>
      <c r="CA108" s="135"/>
      <c r="CB108" s="135"/>
      <c r="CC108" s="135"/>
      <c r="CD108" s="135"/>
      <c r="CE108" s="135"/>
      <c r="CF108" s="135"/>
      <c r="CG108" s="135"/>
      <c r="CH108" s="135"/>
      <c r="CI108" s="135"/>
      <c r="CJ108" s="135"/>
      <c r="CK108" s="135"/>
      <c r="CL108" s="135"/>
      <c r="CM108" s="135"/>
      <c r="CN108" s="135"/>
      <c r="CO108" s="135"/>
      <c r="CP108" s="135"/>
      <c r="CQ108" s="135"/>
      <c r="CR108" s="135"/>
      <c r="CS108" s="135"/>
      <c r="CT108" s="135"/>
      <c r="CU108" s="135"/>
      <c r="CV108" s="135"/>
      <c r="CW108" s="135"/>
      <c r="CX108" s="136"/>
    </row>
    <row r="109" spans="2:102">
      <c r="B109" s="133"/>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135"/>
      <c r="BX109" s="135"/>
      <c r="BY109" s="135"/>
      <c r="BZ109" s="135"/>
      <c r="CA109" s="135"/>
      <c r="CB109" s="135"/>
      <c r="CC109" s="135"/>
      <c r="CD109" s="135"/>
      <c r="CE109" s="135"/>
      <c r="CF109" s="135"/>
      <c r="CG109" s="135"/>
      <c r="CH109" s="135"/>
      <c r="CI109" s="135"/>
      <c r="CJ109" s="135"/>
      <c r="CK109" s="135"/>
      <c r="CL109" s="135"/>
      <c r="CM109" s="135"/>
      <c r="CN109" s="135"/>
      <c r="CO109" s="135"/>
      <c r="CP109" s="135"/>
      <c r="CQ109" s="135"/>
      <c r="CR109" s="135"/>
      <c r="CS109" s="135"/>
      <c r="CT109" s="135"/>
      <c r="CU109" s="135"/>
      <c r="CV109" s="135"/>
      <c r="CW109" s="135"/>
      <c r="CX109" s="136"/>
    </row>
    <row r="110" spans="2:102">
      <c r="B110" s="133"/>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c r="BW110" s="135"/>
      <c r="BX110" s="135"/>
      <c r="BY110" s="135"/>
      <c r="BZ110" s="135"/>
      <c r="CA110" s="135"/>
      <c r="CB110" s="135"/>
      <c r="CC110" s="135"/>
      <c r="CD110" s="135"/>
      <c r="CE110" s="135"/>
      <c r="CF110" s="135"/>
      <c r="CG110" s="135"/>
      <c r="CH110" s="135"/>
      <c r="CI110" s="135"/>
      <c r="CJ110" s="135"/>
      <c r="CK110" s="135"/>
      <c r="CL110" s="135"/>
      <c r="CM110" s="135"/>
      <c r="CN110" s="135"/>
      <c r="CO110" s="135"/>
      <c r="CP110" s="135"/>
      <c r="CQ110" s="135"/>
      <c r="CR110" s="135"/>
      <c r="CS110" s="135"/>
      <c r="CT110" s="135"/>
      <c r="CU110" s="135"/>
      <c r="CV110" s="135"/>
      <c r="CW110" s="135"/>
      <c r="CX110" s="136"/>
    </row>
    <row r="111" spans="2:102">
      <c r="B111" s="133"/>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5"/>
      <c r="BP111" s="135"/>
      <c r="BQ111" s="135"/>
      <c r="BR111" s="135"/>
      <c r="BS111" s="135"/>
      <c r="BT111" s="135"/>
      <c r="BU111" s="135"/>
      <c r="BV111" s="135"/>
      <c r="BW111" s="135"/>
      <c r="BX111" s="135"/>
      <c r="BY111" s="135"/>
      <c r="BZ111" s="135"/>
      <c r="CA111" s="135"/>
      <c r="CB111" s="135"/>
      <c r="CC111" s="135"/>
      <c r="CD111" s="135"/>
      <c r="CE111" s="135"/>
      <c r="CF111" s="135"/>
      <c r="CG111" s="135"/>
      <c r="CH111" s="135"/>
      <c r="CI111" s="135"/>
      <c r="CJ111" s="135"/>
      <c r="CK111" s="135"/>
      <c r="CL111" s="135"/>
      <c r="CM111" s="135"/>
      <c r="CN111" s="135"/>
      <c r="CO111" s="135"/>
      <c r="CP111" s="135"/>
      <c r="CQ111" s="135"/>
      <c r="CR111" s="135"/>
      <c r="CS111" s="135"/>
      <c r="CT111" s="135"/>
      <c r="CU111" s="135"/>
      <c r="CV111" s="135"/>
      <c r="CW111" s="135"/>
      <c r="CX111" s="136"/>
    </row>
    <row r="112" spans="2:102">
      <c r="B112" s="133"/>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5"/>
      <c r="BZ112" s="135"/>
      <c r="CA112" s="135"/>
      <c r="CB112" s="135"/>
      <c r="CC112" s="135"/>
      <c r="CD112" s="135"/>
      <c r="CE112" s="135"/>
      <c r="CF112" s="135"/>
      <c r="CG112" s="135"/>
      <c r="CH112" s="135"/>
      <c r="CI112" s="135"/>
      <c r="CJ112" s="135"/>
      <c r="CK112" s="135"/>
      <c r="CL112" s="135"/>
      <c r="CM112" s="135"/>
      <c r="CN112" s="135"/>
      <c r="CO112" s="135"/>
      <c r="CP112" s="135"/>
      <c r="CQ112" s="135"/>
      <c r="CR112" s="135"/>
      <c r="CS112" s="135"/>
      <c r="CT112" s="135"/>
      <c r="CU112" s="135"/>
      <c r="CV112" s="135"/>
      <c r="CW112" s="135"/>
      <c r="CX112" s="136"/>
    </row>
    <row r="113" spans="2:104">
      <c r="B113" s="133"/>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5"/>
      <c r="CH113" s="135"/>
      <c r="CI113" s="135"/>
      <c r="CJ113" s="135"/>
      <c r="CK113" s="135"/>
      <c r="CL113" s="135"/>
      <c r="CM113" s="135"/>
      <c r="CN113" s="135"/>
      <c r="CO113" s="135"/>
      <c r="CP113" s="135"/>
      <c r="CQ113" s="135"/>
      <c r="CR113" s="135"/>
      <c r="CS113" s="135"/>
      <c r="CT113" s="135"/>
      <c r="CU113" s="135"/>
      <c r="CV113" s="135"/>
      <c r="CW113" s="135"/>
      <c r="CX113" s="136"/>
    </row>
    <row r="114" spans="2:104">
      <c r="B114" s="133"/>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c r="AB114" s="135"/>
      <c r="AC114" s="135"/>
      <c r="AD114" s="135"/>
      <c r="AE114" s="135"/>
      <c r="AF114" s="135"/>
      <c r="AG114" s="135"/>
      <c r="AH114" s="135"/>
      <c r="AI114" s="135"/>
      <c r="AJ114" s="135"/>
      <c r="AK114" s="135"/>
      <c r="AL114" s="135"/>
      <c r="AM114" s="135"/>
      <c r="AN114" s="135"/>
      <c r="AO114" s="135"/>
      <c r="AP114" s="135"/>
      <c r="AQ114" s="135"/>
      <c r="AR114" s="135"/>
      <c r="AS114" s="135"/>
      <c r="AT114" s="135"/>
      <c r="AU114" s="135"/>
      <c r="AV114" s="135"/>
      <c r="AW114" s="135"/>
      <c r="AX114" s="135"/>
      <c r="AY114" s="135"/>
      <c r="AZ114" s="135"/>
      <c r="BA114" s="135"/>
      <c r="BB114" s="135"/>
      <c r="BC114" s="135"/>
      <c r="BD114" s="135"/>
      <c r="BE114" s="135"/>
      <c r="BF114" s="135"/>
      <c r="BG114" s="135"/>
      <c r="BH114" s="135"/>
      <c r="BI114" s="135"/>
      <c r="BJ114" s="135"/>
      <c r="BK114" s="135"/>
      <c r="BL114" s="135"/>
      <c r="BM114" s="135"/>
      <c r="BN114" s="135"/>
      <c r="BO114" s="135"/>
      <c r="BP114" s="135"/>
      <c r="BQ114" s="135"/>
      <c r="BR114" s="135"/>
      <c r="BS114" s="135"/>
      <c r="BT114" s="135"/>
      <c r="BU114" s="135"/>
      <c r="BV114" s="135"/>
      <c r="BW114" s="135"/>
      <c r="BX114" s="135"/>
      <c r="BY114" s="135"/>
      <c r="BZ114" s="135"/>
      <c r="CA114" s="135"/>
      <c r="CB114" s="135"/>
      <c r="CC114" s="135"/>
      <c r="CD114" s="135"/>
      <c r="CE114" s="135"/>
      <c r="CF114" s="135"/>
      <c r="CG114" s="135"/>
      <c r="CH114" s="135"/>
      <c r="CI114" s="135"/>
      <c r="CJ114" s="135"/>
      <c r="CK114" s="135"/>
      <c r="CL114" s="135"/>
      <c r="CM114" s="135"/>
      <c r="CN114" s="135"/>
      <c r="CO114" s="135"/>
      <c r="CP114" s="135"/>
      <c r="CQ114" s="135"/>
      <c r="CR114" s="135"/>
      <c r="CS114" s="135"/>
      <c r="CT114" s="135"/>
      <c r="CU114" s="135"/>
      <c r="CV114" s="135"/>
      <c r="CW114" s="135"/>
      <c r="CX114" s="136"/>
    </row>
    <row r="115" spans="2:104">
      <c r="B115" s="133"/>
      <c r="C115" s="135"/>
      <c r="D115" s="135"/>
      <c r="E115" s="135"/>
      <c r="F115" s="135"/>
      <c r="G115" s="135"/>
      <c r="H115" s="135" t="s">
        <v>107</v>
      </c>
      <c r="I115" s="135"/>
      <c r="J115" s="135"/>
      <c r="K115" s="135"/>
      <c r="L115" s="135"/>
      <c r="M115" s="135"/>
      <c r="N115" s="135" t="s">
        <v>120</v>
      </c>
      <c r="O115" s="135"/>
      <c r="P115" s="135"/>
      <c r="Q115" s="135"/>
      <c r="R115" s="135"/>
      <c r="S115" s="135"/>
      <c r="T115" s="135"/>
      <c r="U115" s="135"/>
      <c r="V115" s="135"/>
      <c r="W115" s="135"/>
      <c r="X115" s="135"/>
      <c r="Y115" s="135"/>
      <c r="Z115" s="135"/>
      <c r="AA115" s="135"/>
      <c r="AB115" s="135"/>
      <c r="AC115" s="135"/>
      <c r="AD115" s="135"/>
      <c r="AE115" s="135"/>
      <c r="AF115" s="135"/>
      <c r="AG115" s="135"/>
      <c r="AH115" s="135"/>
      <c r="AI115" s="135"/>
      <c r="AJ115" s="135"/>
      <c r="AK115" s="135"/>
      <c r="AL115" s="135"/>
      <c r="AM115" s="135"/>
      <c r="AN115" s="135"/>
      <c r="AO115" s="135"/>
      <c r="AP115" s="135"/>
      <c r="AQ115" s="135"/>
      <c r="AR115" s="135"/>
      <c r="AS115" s="135"/>
      <c r="AT115" s="135"/>
      <c r="AU115" s="135"/>
      <c r="AV115" s="135"/>
      <c r="AW115" s="135"/>
      <c r="AX115" s="135"/>
      <c r="AY115" s="135"/>
      <c r="AZ115" s="135"/>
      <c r="BA115" s="135"/>
      <c r="BB115" s="135"/>
      <c r="BC115" s="135"/>
      <c r="BD115" s="135"/>
      <c r="BE115" s="135"/>
      <c r="BF115" s="135"/>
      <c r="BG115" s="135"/>
      <c r="BH115" s="135"/>
      <c r="BI115" s="135"/>
      <c r="BJ115" s="135"/>
      <c r="BK115" s="135"/>
      <c r="BL115" s="135"/>
      <c r="BM115" s="135"/>
      <c r="BN115" s="135"/>
      <c r="BO115" s="135"/>
      <c r="BP115" s="135"/>
      <c r="BQ115" s="135"/>
      <c r="BR115" s="135"/>
      <c r="BS115" s="135"/>
      <c r="BT115" s="135"/>
      <c r="BU115" s="135"/>
      <c r="BV115" s="135"/>
      <c r="BW115" s="135"/>
      <c r="BX115" s="135"/>
      <c r="BY115" s="135"/>
      <c r="BZ115" s="135"/>
      <c r="CA115" s="135"/>
      <c r="CB115" s="135"/>
      <c r="CC115" s="135"/>
      <c r="CD115" s="135"/>
      <c r="CE115" s="135"/>
      <c r="CF115" s="135"/>
      <c r="CG115" s="135"/>
      <c r="CH115" s="135"/>
      <c r="CI115" s="135"/>
      <c r="CJ115" s="135"/>
      <c r="CK115" s="135"/>
      <c r="CL115" s="135"/>
      <c r="CM115" s="135"/>
      <c r="CN115" s="135"/>
      <c r="CO115" s="135"/>
      <c r="CP115" s="135"/>
      <c r="CQ115" s="135"/>
      <c r="CR115" s="135"/>
      <c r="CS115" s="135"/>
      <c r="CT115" s="135"/>
      <c r="CU115" s="135"/>
      <c r="CV115" s="135"/>
      <c r="CW115" s="135"/>
      <c r="CX115" s="136"/>
    </row>
    <row r="116" spans="2:104">
      <c r="B116" s="133"/>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c r="AB116" s="135"/>
      <c r="AC116" s="135"/>
      <c r="AD116" s="135"/>
      <c r="AE116" s="135"/>
      <c r="AF116" s="135"/>
      <c r="AG116" s="135"/>
      <c r="AH116" s="135"/>
      <c r="AI116" s="135"/>
      <c r="AJ116" s="135"/>
      <c r="AK116" s="135"/>
      <c r="AL116" s="135"/>
      <c r="AM116" s="135"/>
      <c r="AN116" s="135"/>
      <c r="AO116" s="135"/>
      <c r="AP116" s="135"/>
      <c r="AQ116" s="135"/>
      <c r="AR116" s="135"/>
      <c r="AS116" s="135"/>
      <c r="AT116" s="135"/>
      <c r="AU116" s="135"/>
      <c r="AV116" s="135"/>
      <c r="AW116" s="135"/>
      <c r="AX116" s="135"/>
      <c r="AY116" s="135"/>
      <c r="AZ116" s="135"/>
      <c r="BA116" s="135"/>
      <c r="BB116" s="135"/>
      <c r="BC116" s="135"/>
      <c r="BD116" s="135"/>
      <c r="BE116" s="135"/>
      <c r="BF116" s="135"/>
      <c r="BG116" s="135"/>
      <c r="BH116" s="135"/>
      <c r="BI116" s="135"/>
      <c r="BJ116" s="135"/>
      <c r="BK116" s="135"/>
      <c r="BL116" s="135"/>
      <c r="BM116" s="135"/>
      <c r="BN116" s="135"/>
      <c r="BO116" s="135"/>
      <c r="BP116" s="135"/>
      <c r="BQ116" s="135"/>
      <c r="BR116" s="135"/>
      <c r="BS116" s="135"/>
      <c r="BT116" s="135"/>
      <c r="BU116" s="135"/>
      <c r="BV116" s="135"/>
      <c r="BW116" s="135"/>
      <c r="BX116" s="135"/>
      <c r="BY116" s="135"/>
      <c r="BZ116" s="135"/>
      <c r="CA116" s="135"/>
      <c r="CB116" s="135"/>
      <c r="CC116" s="135"/>
      <c r="CD116" s="135"/>
      <c r="CE116" s="135"/>
      <c r="CF116" s="135"/>
      <c r="CG116" s="135"/>
      <c r="CH116" s="135"/>
      <c r="CI116" s="135"/>
      <c r="CJ116" s="135"/>
      <c r="CK116" s="135"/>
      <c r="CL116" s="135"/>
      <c r="CM116" s="135"/>
      <c r="CN116" s="135"/>
      <c r="CO116" s="135"/>
      <c r="CP116" s="135"/>
      <c r="CQ116" s="135"/>
      <c r="CR116" s="135"/>
      <c r="CS116" s="135"/>
      <c r="CT116" s="135"/>
      <c r="CU116" s="135"/>
      <c r="CV116" s="135"/>
      <c r="CW116" s="135"/>
      <c r="CX116" s="136"/>
    </row>
    <row r="117" spans="2:104">
      <c r="B117" s="133"/>
      <c r="C117" s="135"/>
      <c r="D117" s="135"/>
      <c r="E117" s="135"/>
      <c r="F117" s="135"/>
      <c r="G117" s="135"/>
      <c r="H117" s="135" t="s">
        <v>109</v>
      </c>
      <c r="I117" s="135"/>
      <c r="J117" s="135"/>
      <c r="K117" s="135"/>
      <c r="L117" s="135"/>
      <c r="M117" s="135"/>
      <c r="N117" s="135" t="s">
        <v>121</v>
      </c>
      <c r="O117" s="135"/>
      <c r="P117" s="135"/>
      <c r="Q117" s="135"/>
      <c r="R117" s="135"/>
      <c r="S117" s="135"/>
      <c r="T117" s="135"/>
      <c r="U117" s="135"/>
      <c r="V117" s="135"/>
      <c r="W117" s="135"/>
      <c r="X117" s="135"/>
      <c r="Y117" s="135"/>
      <c r="Z117" s="135"/>
      <c r="AA117" s="135"/>
      <c r="AB117" s="135"/>
      <c r="AC117" s="135"/>
      <c r="AD117" s="135"/>
      <c r="AE117" s="135"/>
      <c r="AF117" s="135"/>
      <c r="AG117" s="135"/>
      <c r="AH117" s="135"/>
      <c r="AI117" s="135"/>
      <c r="AJ117" s="135"/>
      <c r="AK117" s="135"/>
      <c r="AL117" s="135"/>
      <c r="AM117" s="135"/>
      <c r="AN117" s="135"/>
      <c r="AO117" s="135"/>
      <c r="AP117" s="135"/>
      <c r="AQ117" s="135"/>
      <c r="AR117" s="135"/>
      <c r="AS117" s="135"/>
      <c r="AT117" s="135"/>
      <c r="AU117" s="135"/>
      <c r="AV117" s="135"/>
      <c r="AW117" s="135"/>
      <c r="AX117" s="135"/>
      <c r="AY117" s="135"/>
      <c r="AZ117" s="135"/>
      <c r="BA117" s="135"/>
      <c r="BB117" s="135"/>
      <c r="BC117" s="135"/>
      <c r="BD117" s="135"/>
      <c r="BE117" s="135"/>
      <c r="BF117" s="135"/>
      <c r="BG117" s="135"/>
      <c r="BH117" s="135"/>
      <c r="BI117" s="135"/>
      <c r="BJ117" s="135"/>
      <c r="BK117" s="135"/>
      <c r="BL117" s="135"/>
      <c r="BM117" s="135"/>
      <c r="BN117" s="135"/>
      <c r="BO117" s="135"/>
      <c r="BP117" s="135"/>
      <c r="BQ117" s="135"/>
      <c r="BR117" s="135"/>
      <c r="BS117" s="135"/>
      <c r="BT117" s="135"/>
      <c r="BU117" s="135"/>
      <c r="BV117" s="135"/>
      <c r="BW117" s="135"/>
      <c r="BX117" s="135"/>
      <c r="BY117" s="135"/>
      <c r="BZ117" s="135"/>
      <c r="CA117" s="135"/>
      <c r="CB117" s="135"/>
      <c r="CC117" s="135"/>
      <c r="CD117" s="135"/>
      <c r="CE117" s="135"/>
      <c r="CF117" s="135"/>
      <c r="CG117" s="135"/>
      <c r="CH117" s="135"/>
      <c r="CI117" s="135"/>
      <c r="CJ117" s="135"/>
      <c r="CK117" s="135"/>
      <c r="CL117" s="135"/>
      <c r="CM117" s="135"/>
      <c r="CN117" s="135"/>
      <c r="CO117" s="135"/>
      <c r="CP117" s="135"/>
      <c r="CQ117" s="135"/>
      <c r="CR117" s="135"/>
      <c r="CS117" s="135"/>
      <c r="CT117" s="135"/>
      <c r="CU117" s="135"/>
      <c r="CV117" s="135"/>
      <c r="CW117" s="135"/>
      <c r="CX117" s="136"/>
    </row>
    <row r="118" spans="2:104">
      <c r="B118" s="133"/>
      <c r="C118" s="135"/>
      <c r="D118" s="135"/>
      <c r="E118" s="135"/>
      <c r="F118" s="135"/>
      <c r="G118" s="135"/>
      <c r="H118" s="135"/>
      <c r="I118" s="135"/>
      <c r="J118" s="135"/>
      <c r="K118" s="135"/>
      <c r="L118" s="135"/>
      <c r="M118" s="135"/>
      <c r="N118" s="103" t="s">
        <v>122</v>
      </c>
      <c r="O118" s="135"/>
      <c r="P118" s="135"/>
      <c r="Q118" s="135"/>
      <c r="R118" s="135"/>
      <c r="S118" s="135"/>
      <c r="T118" s="135"/>
      <c r="U118" s="135"/>
      <c r="V118" s="135"/>
      <c r="W118" s="135"/>
      <c r="X118" s="135"/>
      <c r="Y118" s="135"/>
      <c r="Z118" s="135"/>
      <c r="AA118" s="135"/>
      <c r="AB118" s="135"/>
      <c r="AC118" s="135"/>
      <c r="AD118" s="135"/>
      <c r="AE118" s="135"/>
      <c r="AF118" s="135"/>
      <c r="AG118" s="135"/>
      <c r="AH118" s="135"/>
      <c r="AI118" s="135"/>
      <c r="AJ118" s="135"/>
      <c r="AK118" s="135"/>
      <c r="AL118" s="135"/>
      <c r="AM118" s="135"/>
      <c r="AN118" s="135"/>
      <c r="AO118" s="135"/>
      <c r="AP118" s="135"/>
      <c r="AQ118" s="135"/>
      <c r="AR118" s="135"/>
      <c r="AS118" s="135"/>
      <c r="AT118" s="135"/>
      <c r="AU118" s="135"/>
      <c r="AV118" s="135"/>
      <c r="AW118" s="135"/>
      <c r="AX118" s="135"/>
      <c r="AY118" s="135"/>
      <c r="AZ118" s="135"/>
      <c r="BA118" s="135"/>
      <c r="BB118" s="135"/>
      <c r="BC118" s="135"/>
      <c r="BD118" s="135"/>
      <c r="BE118" s="135"/>
      <c r="BF118" s="135"/>
      <c r="BG118" s="135"/>
      <c r="BH118" s="135"/>
      <c r="BI118" s="135"/>
      <c r="BJ118" s="135"/>
      <c r="BK118" s="135"/>
      <c r="BL118" s="135"/>
      <c r="BM118" s="135"/>
      <c r="BN118" s="135"/>
      <c r="BO118" s="135"/>
      <c r="BP118" s="135"/>
      <c r="BQ118" s="135"/>
      <c r="BR118" s="135"/>
      <c r="BS118" s="135"/>
      <c r="BT118" s="135"/>
      <c r="BU118" s="135"/>
      <c r="BV118" s="135"/>
      <c r="BW118" s="135"/>
      <c r="BX118" s="135"/>
      <c r="BY118" s="135"/>
      <c r="BZ118" s="135"/>
      <c r="CA118" s="135"/>
      <c r="CB118" s="135"/>
      <c r="CC118" s="135"/>
      <c r="CD118" s="135"/>
      <c r="CE118" s="135"/>
      <c r="CF118" s="135"/>
      <c r="CG118" s="135"/>
      <c r="CH118" s="135"/>
      <c r="CI118" s="135"/>
      <c r="CJ118" s="135"/>
      <c r="CK118" s="135"/>
      <c r="CL118" s="135"/>
      <c r="CM118" s="135"/>
      <c r="CN118" s="135"/>
      <c r="CO118" s="135"/>
      <c r="CP118" s="135"/>
      <c r="CQ118" s="135"/>
      <c r="CR118" s="135"/>
      <c r="CS118" s="135"/>
      <c r="CT118" s="135"/>
      <c r="CU118" s="135"/>
      <c r="CV118" s="135"/>
      <c r="CW118" s="135"/>
      <c r="CX118" s="136"/>
    </row>
    <row r="119" spans="2:104">
      <c r="B119" s="133"/>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135"/>
      <c r="AG119" s="135"/>
      <c r="AH119" s="135"/>
      <c r="AI119" s="135"/>
      <c r="AJ119" s="135"/>
      <c r="AK119" s="135"/>
      <c r="AL119" s="135"/>
      <c r="AM119" s="135"/>
      <c r="AN119" s="135"/>
      <c r="AO119" s="135"/>
      <c r="AP119" s="135"/>
      <c r="AQ119" s="135"/>
      <c r="AR119" s="135"/>
      <c r="AS119" s="135"/>
      <c r="AT119" s="135"/>
      <c r="AU119" s="135"/>
      <c r="AV119" s="135"/>
      <c r="AW119" s="135"/>
      <c r="AX119" s="135"/>
      <c r="AY119" s="135"/>
      <c r="AZ119" s="135"/>
      <c r="BA119" s="135"/>
      <c r="BB119" s="135"/>
      <c r="BC119" s="135"/>
      <c r="BD119" s="135"/>
      <c r="BE119" s="135"/>
      <c r="BF119" s="135"/>
      <c r="BG119" s="135"/>
      <c r="BH119" s="135"/>
      <c r="BI119" s="135"/>
      <c r="BJ119" s="135"/>
      <c r="BK119" s="135"/>
      <c r="BL119" s="135"/>
      <c r="BM119" s="135"/>
      <c r="BN119" s="135"/>
      <c r="BO119" s="135"/>
      <c r="BP119" s="135"/>
      <c r="BQ119" s="135"/>
      <c r="BR119" s="135"/>
      <c r="BS119" s="135"/>
      <c r="BT119" s="135"/>
      <c r="BU119" s="135"/>
      <c r="BV119" s="135"/>
      <c r="BW119" s="135"/>
      <c r="BX119" s="135"/>
      <c r="BY119" s="135"/>
      <c r="BZ119" s="135"/>
      <c r="CA119" s="135"/>
      <c r="CB119" s="135"/>
      <c r="CC119" s="135"/>
      <c r="CD119" s="135"/>
      <c r="CE119" s="135"/>
      <c r="CF119" s="135"/>
      <c r="CG119" s="135"/>
      <c r="CH119" s="135"/>
      <c r="CI119" s="135"/>
      <c r="CJ119" s="135"/>
      <c r="CK119" s="135"/>
      <c r="CL119" s="135"/>
      <c r="CM119" s="135"/>
      <c r="CN119" s="135"/>
      <c r="CO119" s="135"/>
      <c r="CP119" s="135"/>
      <c r="CQ119" s="135"/>
      <c r="CR119" s="135"/>
      <c r="CS119" s="135"/>
      <c r="CT119" s="135"/>
      <c r="CU119" s="135"/>
      <c r="CV119" s="135"/>
      <c r="CW119" s="135"/>
      <c r="CX119" s="136"/>
    </row>
    <row r="120" spans="2:104">
      <c r="B120" s="133"/>
      <c r="C120" s="135"/>
      <c r="D120" s="135"/>
      <c r="E120" s="135"/>
      <c r="F120" s="135"/>
      <c r="G120" s="135"/>
      <c r="H120" s="135"/>
      <c r="I120" s="135"/>
      <c r="J120" s="135"/>
      <c r="K120" s="135"/>
      <c r="L120" s="135"/>
      <c r="M120" s="135"/>
      <c r="N120" s="138" t="s">
        <v>123</v>
      </c>
      <c r="O120" s="135"/>
      <c r="P120" s="135"/>
      <c r="Q120" s="135"/>
      <c r="R120" s="135"/>
      <c r="S120" s="135"/>
      <c r="T120" s="135"/>
      <c r="U120" s="135"/>
      <c r="V120" s="135"/>
      <c r="W120" s="144" t="s">
        <v>124</v>
      </c>
      <c r="X120" s="135"/>
      <c r="Y120" s="135"/>
      <c r="Z120" s="135"/>
      <c r="AA120" s="135"/>
      <c r="AB120" s="135"/>
      <c r="AC120" s="135"/>
      <c r="AD120" s="135"/>
      <c r="AE120" s="135"/>
      <c r="AF120" s="135"/>
      <c r="AG120" s="135"/>
      <c r="AH120" s="135"/>
      <c r="AI120" s="135"/>
      <c r="AJ120" s="135"/>
      <c r="AK120" s="135"/>
      <c r="AL120" s="135"/>
      <c r="AM120" s="135"/>
      <c r="AN120" s="135"/>
      <c r="AO120" s="135"/>
      <c r="AP120" s="135"/>
      <c r="AQ120" s="135"/>
      <c r="AR120" s="135"/>
      <c r="AS120" s="135"/>
      <c r="AT120" s="135"/>
      <c r="AU120" s="135"/>
      <c r="AV120" s="135"/>
      <c r="AW120" s="135"/>
      <c r="AX120" s="135"/>
      <c r="AY120" s="135"/>
      <c r="AZ120" s="135"/>
      <c r="BA120" s="135"/>
      <c r="BB120" s="135"/>
      <c r="BC120" s="135"/>
      <c r="BD120" s="135"/>
      <c r="BE120" s="135"/>
      <c r="BF120" s="135"/>
      <c r="BG120" s="135"/>
      <c r="BH120" s="135"/>
      <c r="BI120" s="135"/>
      <c r="BJ120" s="135"/>
      <c r="BK120" s="135"/>
      <c r="BL120" s="135"/>
      <c r="BM120" s="135"/>
      <c r="BN120" s="135"/>
      <c r="BO120" s="135"/>
      <c r="BP120" s="135"/>
      <c r="BQ120" s="135"/>
      <c r="BR120" s="135"/>
      <c r="BS120" s="135"/>
      <c r="BT120" s="135"/>
      <c r="BU120" s="135"/>
      <c r="BV120" s="135"/>
      <c r="BW120" s="135"/>
      <c r="BX120" s="135"/>
      <c r="BY120" s="135"/>
      <c r="BZ120" s="135"/>
      <c r="CA120" s="135"/>
      <c r="CB120" s="135"/>
      <c r="CC120" s="135"/>
      <c r="CD120" s="135"/>
      <c r="CE120" s="135"/>
      <c r="CF120" s="135"/>
      <c r="CG120" s="135"/>
      <c r="CH120" s="135"/>
      <c r="CI120" s="135"/>
      <c r="CJ120" s="135"/>
      <c r="CK120" s="135"/>
      <c r="CL120" s="135"/>
      <c r="CM120" s="135"/>
      <c r="CN120" s="135"/>
      <c r="CO120" s="135"/>
      <c r="CP120" s="135"/>
      <c r="CQ120" s="135"/>
      <c r="CR120" s="135"/>
      <c r="CS120" s="135"/>
      <c r="CT120" s="135"/>
      <c r="CU120" s="135"/>
      <c r="CV120" s="135"/>
      <c r="CW120" s="135"/>
      <c r="CX120" s="136"/>
      <c r="CY120" s="135"/>
      <c r="CZ120" s="135"/>
    </row>
    <row r="121" spans="2:104">
      <c r="B121" s="133"/>
      <c r="C121" s="135"/>
      <c r="D121" s="135"/>
      <c r="E121" s="135"/>
      <c r="F121" s="135"/>
      <c r="G121" s="135"/>
      <c r="H121" s="135"/>
      <c r="I121" s="135"/>
      <c r="J121" s="135"/>
      <c r="K121" s="135"/>
      <c r="L121" s="135"/>
      <c r="M121" s="135"/>
      <c r="N121" s="138" t="s">
        <v>125</v>
      </c>
      <c r="O121" s="135"/>
      <c r="P121" s="135"/>
      <c r="Q121" s="135"/>
      <c r="R121" s="135"/>
      <c r="S121" s="135"/>
      <c r="T121" s="135"/>
      <c r="U121" s="135"/>
      <c r="V121" s="135"/>
      <c r="W121" s="135"/>
      <c r="X121" s="135"/>
      <c r="Y121" s="135"/>
      <c r="Z121" s="135"/>
      <c r="AA121" s="135"/>
      <c r="AB121" s="135"/>
      <c r="AC121" s="135"/>
      <c r="AD121" s="135"/>
      <c r="AE121" s="135"/>
      <c r="AF121" s="135"/>
      <c r="AG121" s="135"/>
      <c r="AH121" s="135"/>
      <c r="AI121" s="135"/>
      <c r="AJ121" s="135"/>
      <c r="AK121" s="135"/>
      <c r="AL121" s="135"/>
      <c r="AM121" s="135"/>
      <c r="AN121" s="135"/>
      <c r="AO121" s="135"/>
      <c r="AP121" s="135"/>
      <c r="AQ121" s="135"/>
      <c r="AR121" s="135"/>
      <c r="AS121" s="135"/>
      <c r="AT121" s="135"/>
      <c r="AU121" s="135"/>
      <c r="AV121" s="135"/>
      <c r="AW121" s="135"/>
      <c r="AX121" s="135"/>
      <c r="AY121" s="135"/>
      <c r="AZ121" s="135"/>
      <c r="BA121" s="135"/>
      <c r="BB121" s="135"/>
      <c r="BC121" s="135"/>
      <c r="BD121" s="135"/>
      <c r="BE121" s="135"/>
      <c r="BF121" s="135"/>
      <c r="BG121" s="135"/>
      <c r="BH121" s="135"/>
      <c r="BI121" s="135"/>
      <c r="BJ121" s="135"/>
      <c r="BK121" s="135"/>
      <c r="BL121" s="135"/>
      <c r="BM121" s="135"/>
      <c r="BN121" s="135"/>
      <c r="BO121" s="135"/>
      <c r="BP121" s="135"/>
      <c r="BQ121" s="135"/>
      <c r="BR121" s="135"/>
      <c r="BS121" s="135"/>
      <c r="BT121" s="135"/>
      <c r="BU121" s="135"/>
      <c r="BV121" s="135"/>
      <c r="BW121" s="135"/>
      <c r="BX121" s="135"/>
      <c r="BY121" s="135"/>
      <c r="BZ121" s="135"/>
      <c r="CA121" s="135"/>
      <c r="CB121" s="135"/>
      <c r="CC121" s="135"/>
      <c r="CD121" s="135"/>
      <c r="CE121" s="135"/>
      <c r="CF121" s="135"/>
      <c r="CG121" s="135"/>
      <c r="CH121" s="135"/>
      <c r="CI121" s="135"/>
      <c r="CJ121" s="135"/>
      <c r="CK121" s="135"/>
      <c r="CL121" s="135"/>
      <c r="CM121" s="135"/>
      <c r="CN121" s="135"/>
      <c r="CO121" s="135"/>
      <c r="CP121" s="135"/>
      <c r="CQ121" s="135"/>
      <c r="CR121" s="135"/>
      <c r="CS121" s="135"/>
      <c r="CT121" s="135"/>
      <c r="CU121" s="135"/>
      <c r="CV121" s="135"/>
      <c r="CW121" s="135"/>
      <c r="CX121" s="136"/>
      <c r="CY121" s="135"/>
      <c r="CZ121" s="135"/>
    </row>
    <row r="122" spans="2:104">
      <c r="B122" s="133"/>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35"/>
      <c r="AL122" s="135"/>
      <c r="AM122" s="135"/>
      <c r="AN122" s="135"/>
      <c r="AO122" s="135"/>
      <c r="AP122" s="135"/>
      <c r="AQ122" s="135"/>
      <c r="AR122" s="135"/>
      <c r="AS122" s="135"/>
      <c r="AT122" s="135"/>
      <c r="AU122" s="135"/>
      <c r="AV122" s="135"/>
      <c r="AW122" s="135"/>
      <c r="AX122" s="135"/>
      <c r="AY122" s="135"/>
      <c r="AZ122" s="135"/>
      <c r="BA122" s="135"/>
      <c r="BB122" s="135"/>
      <c r="BC122" s="135"/>
      <c r="BD122" s="135"/>
      <c r="BE122" s="135"/>
      <c r="BF122" s="135"/>
      <c r="BG122" s="135"/>
      <c r="BH122" s="135"/>
      <c r="BI122" s="135"/>
      <c r="BJ122" s="135"/>
      <c r="BK122" s="135"/>
      <c r="BL122" s="135"/>
      <c r="BM122" s="135"/>
      <c r="BN122" s="135"/>
      <c r="BO122" s="135"/>
      <c r="BP122" s="135"/>
      <c r="BQ122" s="135"/>
      <c r="BR122" s="135"/>
      <c r="BS122" s="135"/>
      <c r="BT122" s="135"/>
      <c r="BU122" s="135"/>
      <c r="BV122" s="135"/>
      <c r="BW122" s="135"/>
      <c r="BX122" s="135"/>
      <c r="BY122" s="135"/>
      <c r="BZ122" s="135"/>
      <c r="CA122" s="135"/>
      <c r="CB122" s="135"/>
      <c r="CC122" s="135"/>
      <c r="CD122" s="135"/>
      <c r="CE122" s="135"/>
      <c r="CF122" s="135"/>
      <c r="CG122" s="135"/>
      <c r="CH122" s="135"/>
      <c r="CI122" s="135"/>
      <c r="CJ122" s="135"/>
      <c r="CK122" s="135"/>
      <c r="CL122" s="135"/>
      <c r="CM122" s="135"/>
      <c r="CN122" s="135"/>
      <c r="CO122" s="135"/>
      <c r="CP122" s="135"/>
      <c r="CQ122" s="135"/>
      <c r="CR122" s="135"/>
      <c r="CS122" s="135"/>
      <c r="CT122" s="135"/>
      <c r="CU122" s="135"/>
      <c r="CV122" s="135"/>
      <c r="CW122" s="135"/>
      <c r="CX122" s="136"/>
      <c r="CY122" s="135"/>
      <c r="CZ122" s="135"/>
    </row>
    <row r="123" spans="2:104">
      <c r="B123" s="133"/>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c r="AI123" s="135"/>
      <c r="AJ123" s="135"/>
      <c r="AK123" s="135"/>
      <c r="AL123" s="135"/>
      <c r="AM123" s="135"/>
      <c r="AN123" s="135"/>
      <c r="AO123" s="135"/>
      <c r="AP123" s="135"/>
      <c r="AQ123" s="135"/>
      <c r="AR123" s="135"/>
      <c r="AS123" s="135"/>
      <c r="AT123" s="135"/>
      <c r="AU123" s="135"/>
      <c r="AV123" s="135"/>
      <c r="AW123" s="135"/>
      <c r="AX123" s="135"/>
      <c r="AY123" s="135"/>
      <c r="AZ123" s="135"/>
      <c r="BA123" s="135"/>
      <c r="BB123" s="135"/>
      <c r="BC123" s="135"/>
      <c r="BD123" s="135"/>
      <c r="BE123" s="135"/>
      <c r="BF123" s="135"/>
      <c r="BG123" s="135"/>
      <c r="BH123" s="135"/>
      <c r="BI123" s="135"/>
      <c r="BJ123" s="135"/>
      <c r="BK123" s="135"/>
      <c r="BL123" s="135"/>
      <c r="BM123" s="135"/>
      <c r="BN123" s="135"/>
      <c r="BO123" s="135"/>
      <c r="BP123" s="135"/>
      <c r="BQ123" s="135"/>
      <c r="BR123" s="135"/>
      <c r="BS123" s="135"/>
      <c r="BT123" s="135"/>
      <c r="BU123" s="135"/>
      <c r="BV123" s="135"/>
      <c r="BW123" s="135"/>
      <c r="BX123" s="135"/>
      <c r="BY123" s="135"/>
      <c r="BZ123" s="135"/>
      <c r="CA123" s="135"/>
      <c r="CB123" s="135"/>
      <c r="CC123" s="135"/>
      <c r="CD123" s="135"/>
      <c r="CE123" s="135"/>
      <c r="CF123" s="135"/>
      <c r="CG123" s="135"/>
      <c r="CH123" s="135"/>
      <c r="CI123" s="135"/>
      <c r="CJ123" s="135"/>
      <c r="CK123" s="135"/>
      <c r="CL123" s="135"/>
      <c r="CM123" s="135"/>
      <c r="CN123" s="135"/>
      <c r="CO123" s="135"/>
      <c r="CP123" s="135"/>
      <c r="CQ123" s="135"/>
      <c r="CR123" s="135"/>
      <c r="CS123" s="135"/>
      <c r="CT123" s="135"/>
      <c r="CU123" s="135"/>
      <c r="CV123" s="135"/>
      <c r="CW123" s="135"/>
      <c r="CX123" s="136"/>
      <c r="CY123" s="135"/>
      <c r="CZ123" s="135"/>
    </row>
    <row r="124" spans="2:104">
      <c r="B124" s="133"/>
      <c r="C124" s="135"/>
      <c r="D124" s="135"/>
      <c r="E124" s="135"/>
      <c r="F124" s="135"/>
      <c r="G124" s="135"/>
      <c r="H124" s="135"/>
      <c r="I124" s="135"/>
      <c r="J124" s="135"/>
      <c r="K124" s="135"/>
      <c r="L124" s="135"/>
      <c r="M124" s="135"/>
      <c r="N124" s="138" t="s">
        <v>126</v>
      </c>
      <c r="O124" s="135"/>
      <c r="P124" s="135"/>
      <c r="Q124" s="135"/>
      <c r="R124" s="135"/>
      <c r="S124" s="135"/>
      <c r="T124" s="144"/>
      <c r="U124" s="135"/>
      <c r="V124" s="135"/>
      <c r="W124" s="144" t="s">
        <v>124</v>
      </c>
      <c r="X124" s="135"/>
      <c r="Y124" s="135"/>
      <c r="Z124" s="135"/>
      <c r="AA124" s="135"/>
      <c r="AB124" s="135"/>
      <c r="AC124" s="135"/>
      <c r="AD124" s="135"/>
      <c r="AE124" s="135"/>
      <c r="AF124" s="135"/>
      <c r="AG124" s="135"/>
      <c r="AH124" s="135"/>
      <c r="AI124" s="135"/>
      <c r="AJ124" s="135"/>
      <c r="AK124" s="135"/>
      <c r="AL124" s="135"/>
      <c r="AM124" s="135"/>
      <c r="AN124" s="135"/>
      <c r="AO124" s="135"/>
      <c r="AP124" s="135"/>
      <c r="AQ124" s="135"/>
      <c r="AR124" s="135"/>
      <c r="AS124" s="135"/>
      <c r="AT124" s="135"/>
      <c r="AU124" s="135"/>
      <c r="AV124" s="135"/>
      <c r="AW124" s="135"/>
      <c r="AX124" s="135"/>
      <c r="AY124" s="135"/>
      <c r="AZ124" s="135"/>
      <c r="BA124" s="135"/>
      <c r="BB124" s="135"/>
      <c r="BC124" s="135"/>
      <c r="BD124" s="135"/>
      <c r="BE124" s="135"/>
      <c r="BF124" s="135"/>
      <c r="BG124" s="135"/>
      <c r="BH124" s="135"/>
      <c r="BI124" s="135"/>
      <c r="BJ124" s="135"/>
      <c r="BK124" s="135"/>
      <c r="BL124" s="135"/>
      <c r="BM124" s="135"/>
      <c r="BN124" s="135"/>
      <c r="BO124" s="135"/>
      <c r="BP124" s="135"/>
      <c r="BQ124" s="135"/>
      <c r="BR124" s="135"/>
      <c r="BS124" s="135"/>
      <c r="BT124" s="135"/>
      <c r="BU124" s="135"/>
      <c r="BV124" s="135"/>
      <c r="BW124" s="135"/>
      <c r="BX124" s="135"/>
      <c r="BY124" s="135"/>
      <c r="BZ124" s="135"/>
      <c r="CA124" s="135"/>
      <c r="CB124" s="135"/>
      <c r="CC124" s="135"/>
      <c r="CD124" s="135"/>
      <c r="CE124" s="135"/>
      <c r="CF124" s="135"/>
      <c r="CG124" s="135"/>
      <c r="CH124" s="135"/>
      <c r="CI124" s="135"/>
      <c r="CJ124" s="135"/>
      <c r="CK124" s="135"/>
      <c r="CL124" s="135"/>
      <c r="CM124" s="135"/>
      <c r="CN124" s="135"/>
      <c r="CO124" s="135"/>
      <c r="CP124" s="135"/>
      <c r="CQ124" s="135"/>
      <c r="CR124" s="135"/>
      <c r="CS124" s="135"/>
      <c r="CT124" s="135"/>
      <c r="CU124" s="135"/>
      <c r="CV124" s="135"/>
      <c r="CW124" s="135"/>
      <c r="CX124" s="136"/>
      <c r="CY124" s="135"/>
      <c r="CZ124" s="135"/>
    </row>
    <row r="125" spans="2:104">
      <c r="B125" s="133"/>
      <c r="C125" s="135"/>
      <c r="D125" s="135"/>
      <c r="E125" s="135"/>
      <c r="F125" s="135"/>
      <c r="G125" s="135"/>
      <c r="H125" s="135"/>
      <c r="I125" s="135"/>
      <c r="J125" s="135"/>
      <c r="K125" s="135"/>
      <c r="L125" s="135"/>
      <c r="M125" s="135"/>
      <c r="N125" s="138" t="s">
        <v>125</v>
      </c>
      <c r="O125" s="135"/>
      <c r="P125" s="135"/>
      <c r="Q125" s="135"/>
      <c r="R125" s="135"/>
      <c r="S125" s="135"/>
      <c r="T125" s="135"/>
      <c r="U125" s="135"/>
      <c r="V125" s="135"/>
      <c r="W125" s="135"/>
      <c r="X125" s="135"/>
      <c r="Y125" s="135"/>
      <c r="Z125" s="135"/>
      <c r="AA125" s="135"/>
      <c r="AB125" s="135"/>
      <c r="AC125" s="135"/>
      <c r="AD125" s="135"/>
      <c r="AE125" s="135"/>
      <c r="AF125" s="135"/>
      <c r="AG125" s="135"/>
      <c r="AH125" s="135"/>
      <c r="AI125" s="135"/>
      <c r="AJ125" s="135"/>
      <c r="AK125" s="135"/>
      <c r="AL125" s="135"/>
      <c r="AM125" s="135"/>
      <c r="AN125" s="135"/>
      <c r="AO125" s="135"/>
      <c r="AP125" s="135"/>
      <c r="AQ125" s="135"/>
      <c r="AR125" s="135"/>
      <c r="AS125" s="135"/>
      <c r="AT125" s="135"/>
      <c r="AU125" s="135"/>
      <c r="AV125" s="135"/>
      <c r="AW125" s="135"/>
      <c r="AX125" s="135"/>
      <c r="AY125" s="135"/>
      <c r="AZ125" s="135"/>
      <c r="BA125" s="135"/>
      <c r="BB125" s="135"/>
      <c r="BC125" s="135"/>
      <c r="BD125" s="135"/>
      <c r="BE125" s="135"/>
      <c r="BF125" s="135"/>
      <c r="BG125" s="135"/>
      <c r="BH125" s="135"/>
      <c r="BI125" s="135"/>
      <c r="BJ125" s="135"/>
      <c r="BK125" s="135"/>
      <c r="BL125" s="135"/>
      <c r="BM125" s="135"/>
      <c r="BN125" s="135"/>
      <c r="BO125" s="135"/>
      <c r="BP125" s="135"/>
      <c r="BQ125" s="135"/>
      <c r="BR125" s="135"/>
      <c r="BS125" s="135"/>
      <c r="BT125" s="135"/>
      <c r="BU125" s="135"/>
      <c r="BV125" s="135"/>
      <c r="BW125" s="135"/>
      <c r="BX125" s="135"/>
      <c r="BY125" s="135"/>
      <c r="BZ125" s="135"/>
      <c r="CA125" s="135"/>
      <c r="CB125" s="135"/>
      <c r="CC125" s="135"/>
      <c r="CD125" s="135"/>
      <c r="CE125" s="135"/>
      <c r="CF125" s="135"/>
      <c r="CG125" s="135"/>
      <c r="CH125" s="135"/>
      <c r="CI125" s="135"/>
      <c r="CJ125" s="135"/>
      <c r="CK125" s="135"/>
      <c r="CL125" s="135"/>
      <c r="CM125" s="135"/>
      <c r="CN125" s="135"/>
      <c r="CO125" s="135"/>
      <c r="CP125" s="135"/>
      <c r="CQ125" s="135"/>
      <c r="CR125" s="135"/>
      <c r="CS125" s="135"/>
      <c r="CT125" s="135"/>
      <c r="CU125" s="135"/>
      <c r="CV125" s="135"/>
      <c r="CW125" s="135"/>
      <c r="CX125" s="136"/>
      <c r="CY125" s="135"/>
      <c r="CZ125" s="135"/>
    </row>
    <row r="126" spans="2:104">
      <c r="B126" s="133"/>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35"/>
      <c r="AL126" s="135"/>
      <c r="AM126" s="135"/>
      <c r="AN126" s="135"/>
      <c r="AO126" s="135"/>
      <c r="AP126" s="135"/>
      <c r="AQ126" s="135"/>
      <c r="AR126" s="135"/>
      <c r="AS126" s="135"/>
      <c r="AT126" s="135"/>
      <c r="AU126" s="135"/>
      <c r="AV126" s="135"/>
      <c r="AW126" s="135"/>
      <c r="AX126" s="135"/>
      <c r="AY126" s="135"/>
      <c r="AZ126" s="135"/>
      <c r="BA126" s="135"/>
      <c r="BB126" s="135"/>
      <c r="BC126" s="135"/>
      <c r="BD126" s="135"/>
      <c r="BE126" s="135"/>
      <c r="BF126" s="135"/>
      <c r="BG126" s="135"/>
      <c r="BH126" s="135"/>
      <c r="BI126" s="135"/>
      <c r="BJ126" s="135"/>
      <c r="BK126" s="135"/>
      <c r="BL126" s="135"/>
      <c r="BM126" s="135"/>
      <c r="BN126" s="135"/>
      <c r="BO126" s="135"/>
      <c r="BP126" s="135"/>
      <c r="BQ126" s="135"/>
      <c r="BR126" s="135"/>
      <c r="BS126" s="135"/>
      <c r="BT126" s="135"/>
      <c r="BU126" s="135"/>
      <c r="BV126" s="135"/>
      <c r="BW126" s="135"/>
      <c r="BX126" s="135"/>
      <c r="BY126" s="135"/>
      <c r="BZ126" s="135"/>
      <c r="CA126" s="135"/>
      <c r="CB126" s="135"/>
      <c r="CC126" s="135"/>
      <c r="CD126" s="135"/>
      <c r="CE126" s="135"/>
      <c r="CF126" s="135"/>
      <c r="CG126" s="135"/>
      <c r="CH126" s="135"/>
      <c r="CI126" s="135"/>
      <c r="CJ126" s="135"/>
      <c r="CK126" s="135"/>
      <c r="CL126" s="135"/>
      <c r="CM126" s="135"/>
      <c r="CN126" s="135"/>
      <c r="CO126" s="135"/>
      <c r="CP126" s="135"/>
      <c r="CQ126" s="135"/>
      <c r="CR126" s="135"/>
      <c r="CS126" s="135"/>
      <c r="CT126" s="135"/>
      <c r="CU126" s="135"/>
      <c r="CV126" s="135"/>
      <c r="CW126" s="135"/>
      <c r="CX126" s="136"/>
      <c r="CY126" s="135"/>
      <c r="CZ126" s="135"/>
    </row>
    <row r="127" spans="2:104">
      <c r="B127" s="133"/>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c r="AB127" s="135"/>
      <c r="AC127" s="135"/>
      <c r="AD127" s="135"/>
      <c r="AE127" s="135"/>
      <c r="AF127" s="135"/>
      <c r="AG127" s="135"/>
      <c r="AH127" s="135"/>
      <c r="AI127" s="135"/>
      <c r="AJ127" s="135"/>
      <c r="AK127" s="135"/>
      <c r="AL127" s="135"/>
      <c r="AM127" s="135"/>
      <c r="AN127" s="135"/>
      <c r="AO127" s="135"/>
      <c r="AP127" s="135"/>
      <c r="AQ127" s="135"/>
      <c r="AR127" s="135"/>
      <c r="AS127" s="135"/>
      <c r="AT127" s="135"/>
      <c r="AU127" s="135"/>
      <c r="AV127" s="135"/>
      <c r="AW127" s="135"/>
      <c r="AX127" s="135"/>
      <c r="AY127" s="135"/>
      <c r="AZ127" s="135"/>
      <c r="BA127" s="135"/>
      <c r="BB127" s="135"/>
      <c r="BC127" s="135"/>
      <c r="BD127" s="135"/>
      <c r="BE127" s="135"/>
      <c r="BF127" s="135"/>
      <c r="BG127" s="135"/>
      <c r="BH127" s="135"/>
      <c r="BI127" s="135"/>
      <c r="BJ127" s="135"/>
      <c r="BK127" s="135"/>
      <c r="BL127" s="135"/>
      <c r="BM127" s="135"/>
      <c r="BN127" s="135"/>
      <c r="BO127" s="135"/>
      <c r="BP127" s="135"/>
      <c r="BQ127" s="135"/>
      <c r="BR127" s="135"/>
      <c r="BS127" s="135"/>
      <c r="BT127" s="135"/>
      <c r="BU127" s="135"/>
      <c r="BV127" s="135"/>
      <c r="BW127" s="135"/>
      <c r="BX127" s="135"/>
      <c r="BY127" s="135"/>
      <c r="BZ127" s="135"/>
      <c r="CA127" s="135"/>
      <c r="CB127" s="135"/>
      <c r="CC127" s="135"/>
      <c r="CD127" s="135"/>
      <c r="CE127" s="135"/>
      <c r="CF127" s="135"/>
      <c r="CG127" s="135"/>
      <c r="CH127" s="135"/>
      <c r="CI127" s="135"/>
      <c r="CJ127" s="135"/>
      <c r="CK127" s="135"/>
      <c r="CL127" s="135"/>
      <c r="CM127" s="135"/>
      <c r="CN127" s="135"/>
      <c r="CO127" s="135"/>
      <c r="CP127" s="135"/>
      <c r="CQ127" s="135"/>
      <c r="CR127" s="135"/>
      <c r="CS127" s="135"/>
      <c r="CT127" s="135"/>
      <c r="CU127" s="135"/>
      <c r="CV127" s="135"/>
      <c r="CW127" s="135"/>
      <c r="CX127" s="136"/>
    </row>
    <row r="128" spans="2:104">
      <c r="B128" s="133"/>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c r="AB128" s="135"/>
      <c r="AC128" s="135"/>
      <c r="AD128" s="135"/>
      <c r="AE128" s="135"/>
      <c r="AF128" s="135"/>
      <c r="AG128" s="135"/>
      <c r="AH128" s="135"/>
      <c r="AI128" s="135"/>
      <c r="AJ128" s="135"/>
      <c r="AK128" s="135"/>
      <c r="AL128" s="135"/>
      <c r="AM128" s="135"/>
      <c r="AN128" s="135"/>
      <c r="AO128" s="135"/>
      <c r="AP128" s="135"/>
      <c r="AQ128" s="135"/>
      <c r="AR128" s="135"/>
      <c r="AS128" s="135"/>
      <c r="AT128" s="135"/>
      <c r="AU128" s="135"/>
      <c r="AV128" s="135"/>
      <c r="AW128" s="135"/>
      <c r="AX128" s="135"/>
      <c r="AY128" s="135"/>
      <c r="AZ128" s="135"/>
      <c r="BA128" s="135"/>
      <c r="BB128" s="135"/>
      <c r="BC128" s="135"/>
      <c r="BD128" s="135"/>
      <c r="BE128" s="135"/>
      <c r="BF128" s="135"/>
      <c r="BG128" s="135"/>
      <c r="BH128" s="135"/>
      <c r="BI128" s="135"/>
      <c r="BJ128" s="135"/>
      <c r="BK128" s="135"/>
      <c r="BL128" s="135"/>
      <c r="BM128" s="135"/>
      <c r="BN128" s="135"/>
      <c r="BO128" s="135"/>
      <c r="BP128" s="135"/>
      <c r="BQ128" s="135"/>
      <c r="BR128" s="135"/>
      <c r="BS128" s="135"/>
      <c r="BT128" s="135"/>
      <c r="BU128" s="135"/>
      <c r="BV128" s="135"/>
      <c r="BW128" s="135"/>
      <c r="BX128" s="135"/>
      <c r="BY128" s="135"/>
      <c r="BZ128" s="135"/>
      <c r="CA128" s="135"/>
      <c r="CB128" s="135"/>
      <c r="CC128" s="135"/>
      <c r="CD128" s="135"/>
      <c r="CE128" s="135"/>
      <c r="CF128" s="135"/>
      <c r="CG128" s="135"/>
      <c r="CH128" s="135"/>
      <c r="CI128" s="135"/>
      <c r="CJ128" s="135"/>
      <c r="CK128" s="135"/>
      <c r="CL128" s="135"/>
      <c r="CM128" s="135"/>
      <c r="CN128" s="135"/>
      <c r="CO128" s="135"/>
      <c r="CP128" s="135"/>
      <c r="CQ128" s="135"/>
      <c r="CR128" s="135"/>
      <c r="CS128" s="135"/>
      <c r="CT128" s="135"/>
      <c r="CU128" s="135"/>
      <c r="CV128" s="135"/>
      <c r="CW128" s="135"/>
      <c r="CX128" s="136"/>
    </row>
    <row r="129" spans="2:102">
      <c r="B129" s="133"/>
      <c r="C129" s="135"/>
      <c r="D129" s="135"/>
      <c r="E129" s="135"/>
      <c r="F129" s="135"/>
      <c r="G129" s="135"/>
      <c r="H129" s="135"/>
      <c r="I129" s="135"/>
      <c r="J129" s="135"/>
      <c r="K129" s="135"/>
      <c r="L129" s="135"/>
      <c r="M129" s="135"/>
      <c r="N129" s="135" t="s">
        <v>127</v>
      </c>
      <c r="O129" s="135"/>
      <c r="P129" s="135"/>
      <c r="Q129" s="135"/>
      <c r="R129" s="135"/>
      <c r="S129" s="135"/>
      <c r="T129" s="135"/>
      <c r="U129" s="135"/>
      <c r="V129" s="135"/>
      <c r="W129" s="135"/>
      <c r="X129" s="135"/>
      <c r="Y129" s="135"/>
      <c r="Z129" s="135"/>
      <c r="AA129" s="135"/>
      <c r="AB129" s="135"/>
      <c r="AC129" s="135"/>
      <c r="AD129" s="135"/>
      <c r="AE129" s="135"/>
      <c r="AF129" s="135"/>
      <c r="AG129" s="135"/>
      <c r="AH129" s="135"/>
      <c r="AI129" s="135"/>
      <c r="AJ129" s="135"/>
      <c r="AK129" s="135"/>
      <c r="AL129" s="135"/>
      <c r="AM129" s="135"/>
      <c r="AN129" s="135"/>
      <c r="AO129" s="135"/>
      <c r="AP129" s="135"/>
      <c r="AQ129" s="135"/>
      <c r="AR129" s="135"/>
      <c r="AS129" s="135"/>
      <c r="AT129" s="135"/>
      <c r="AU129" s="135"/>
      <c r="AV129" s="135"/>
      <c r="AW129" s="135"/>
      <c r="AX129" s="135"/>
      <c r="AY129" s="135"/>
      <c r="AZ129" s="135"/>
      <c r="BA129" s="135"/>
      <c r="BB129" s="135"/>
      <c r="BC129" s="135"/>
      <c r="BD129" s="135"/>
      <c r="BE129" s="135"/>
      <c r="BF129" s="135"/>
      <c r="BG129" s="135"/>
      <c r="BH129" s="135"/>
      <c r="BI129" s="135"/>
      <c r="BJ129" s="135"/>
      <c r="BK129" s="135"/>
      <c r="BL129" s="135"/>
      <c r="BM129" s="135"/>
      <c r="BN129" s="135"/>
      <c r="BO129" s="135"/>
      <c r="BP129" s="135"/>
      <c r="BQ129" s="135"/>
      <c r="BR129" s="135"/>
      <c r="BS129" s="135"/>
      <c r="BT129" s="135"/>
      <c r="BU129" s="135"/>
      <c r="BV129" s="135"/>
      <c r="BW129" s="135"/>
      <c r="BX129" s="135"/>
      <c r="BY129" s="135"/>
      <c r="BZ129" s="135"/>
      <c r="CA129" s="135"/>
      <c r="CB129" s="135"/>
      <c r="CC129" s="135"/>
      <c r="CD129" s="135"/>
      <c r="CE129" s="135"/>
      <c r="CF129" s="135"/>
      <c r="CG129" s="135"/>
      <c r="CH129" s="135"/>
      <c r="CI129" s="135"/>
      <c r="CJ129" s="135"/>
      <c r="CK129" s="135"/>
      <c r="CL129" s="135"/>
      <c r="CM129" s="135"/>
      <c r="CN129" s="135"/>
      <c r="CO129" s="135"/>
      <c r="CP129" s="135"/>
      <c r="CQ129" s="135"/>
      <c r="CR129" s="135"/>
      <c r="CS129" s="135"/>
      <c r="CT129" s="135"/>
      <c r="CU129" s="135"/>
      <c r="CV129" s="135"/>
      <c r="CW129" s="135"/>
      <c r="CX129" s="136"/>
    </row>
    <row r="130" spans="2:102">
      <c r="B130" s="133"/>
      <c r="C130" s="135"/>
      <c r="D130" s="135"/>
      <c r="E130" s="135"/>
      <c r="F130" s="135"/>
      <c r="G130" s="135"/>
      <c r="H130" s="135"/>
      <c r="I130" s="135"/>
      <c r="J130" s="135"/>
      <c r="K130" s="135"/>
      <c r="L130" s="135"/>
      <c r="M130" s="135"/>
      <c r="N130" s="138" t="s">
        <v>128</v>
      </c>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35"/>
      <c r="AL130" s="135"/>
      <c r="AM130" s="135"/>
      <c r="AN130" s="135"/>
      <c r="AO130" s="135"/>
      <c r="AP130" s="135"/>
      <c r="AQ130" s="135"/>
      <c r="AR130" s="135"/>
      <c r="AS130" s="135"/>
      <c r="AT130" s="135"/>
      <c r="AU130" s="135"/>
      <c r="AV130" s="135"/>
      <c r="AW130" s="135"/>
      <c r="AX130" s="135"/>
      <c r="AY130" s="135"/>
      <c r="AZ130" s="135"/>
      <c r="BA130" s="135"/>
      <c r="BB130" s="135"/>
      <c r="BC130" s="135"/>
      <c r="BD130" s="135"/>
      <c r="BE130" s="135"/>
      <c r="BF130" s="135"/>
      <c r="BG130" s="135"/>
      <c r="BH130" s="135"/>
      <c r="BI130" s="135"/>
      <c r="BJ130" s="135"/>
      <c r="BK130" s="135"/>
      <c r="BL130" s="135"/>
      <c r="BM130" s="135"/>
      <c r="BN130" s="135"/>
      <c r="BO130" s="135"/>
      <c r="BP130" s="135"/>
      <c r="BQ130" s="135"/>
      <c r="BR130" s="135"/>
      <c r="BS130" s="135"/>
      <c r="BT130" s="135"/>
      <c r="BU130" s="135"/>
      <c r="BV130" s="135"/>
      <c r="BW130" s="135"/>
      <c r="BX130" s="135"/>
      <c r="BY130" s="135"/>
      <c r="BZ130" s="135"/>
      <c r="CA130" s="135"/>
      <c r="CB130" s="135"/>
      <c r="CC130" s="135"/>
      <c r="CD130" s="135"/>
      <c r="CE130" s="135"/>
      <c r="CF130" s="135"/>
      <c r="CG130" s="135"/>
      <c r="CH130" s="135"/>
      <c r="CI130" s="135"/>
      <c r="CJ130" s="135"/>
      <c r="CK130" s="135"/>
      <c r="CL130" s="135"/>
      <c r="CM130" s="135"/>
      <c r="CN130" s="135"/>
      <c r="CO130" s="135"/>
      <c r="CP130" s="135"/>
      <c r="CQ130" s="135"/>
      <c r="CR130" s="135"/>
      <c r="CS130" s="135"/>
      <c r="CT130" s="135"/>
      <c r="CU130" s="135"/>
      <c r="CV130" s="135"/>
      <c r="CW130" s="135"/>
      <c r="CX130" s="136"/>
    </row>
    <row r="131" spans="2:102">
      <c r="B131" s="130"/>
      <c r="C131" s="131"/>
      <c r="D131" s="131"/>
      <c r="E131" s="131"/>
      <c r="F131" s="131"/>
      <c r="G131" s="131"/>
      <c r="H131" s="140"/>
      <c r="I131" s="140"/>
      <c r="J131" s="140"/>
      <c r="K131" s="140"/>
      <c r="L131" s="140"/>
      <c r="M131" s="140"/>
      <c r="N131" s="140"/>
      <c r="O131" s="140"/>
      <c r="P131" s="140"/>
      <c r="Q131" s="140"/>
      <c r="R131" s="140"/>
      <c r="S131" s="140"/>
      <c r="T131" s="140"/>
      <c r="U131" s="140"/>
      <c r="V131" s="140"/>
      <c r="W131" s="140"/>
      <c r="X131" s="140"/>
      <c r="Y131" s="140"/>
      <c r="Z131" s="140"/>
      <c r="AA131" s="140"/>
      <c r="AB131" s="140"/>
      <c r="AC131" s="140"/>
      <c r="AD131" s="140"/>
      <c r="AE131" s="131"/>
      <c r="AF131" s="131"/>
      <c r="AG131" s="131"/>
      <c r="AH131" s="131"/>
      <c r="AI131" s="131"/>
      <c r="AJ131" s="131"/>
      <c r="AK131" s="131"/>
      <c r="AL131" s="131"/>
      <c r="AM131" s="131"/>
      <c r="AN131" s="131"/>
      <c r="AO131" s="131"/>
      <c r="AP131" s="131"/>
      <c r="AQ131" s="131"/>
      <c r="AR131" s="131"/>
      <c r="AS131" s="131"/>
      <c r="AT131" s="131"/>
      <c r="AU131" s="131"/>
      <c r="AV131" s="131"/>
      <c r="AW131" s="131"/>
      <c r="AX131" s="131"/>
      <c r="AY131" s="131"/>
      <c r="AZ131" s="131"/>
      <c r="BA131" s="131"/>
      <c r="BB131" s="131"/>
      <c r="BC131" s="131"/>
      <c r="BD131" s="131"/>
      <c r="BE131" s="131"/>
      <c r="BF131" s="131"/>
      <c r="BG131" s="131"/>
      <c r="BH131" s="131"/>
      <c r="BI131" s="131"/>
      <c r="BJ131" s="131"/>
      <c r="BK131" s="131"/>
      <c r="BL131" s="131"/>
      <c r="BM131" s="131"/>
      <c r="BN131" s="131"/>
      <c r="BO131" s="131"/>
      <c r="BP131" s="131"/>
      <c r="BQ131" s="131"/>
      <c r="BR131" s="131"/>
      <c r="BS131" s="131"/>
      <c r="BT131" s="131"/>
      <c r="BU131" s="131"/>
      <c r="BV131" s="131"/>
      <c r="BW131" s="131"/>
      <c r="BX131" s="131"/>
      <c r="BY131" s="131"/>
      <c r="BZ131" s="131"/>
      <c r="CA131" s="131"/>
      <c r="CB131" s="131"/>
      <c r="CC131" s="131"/>
      <c r="CD131" s="131"/>
      <c r="CE131" s="131"/>
      <c r="CF131" s="131"/>
      <c r="CG131" s="131"/>
      <c r="CH131" s="131"/>
      <c r="CI131" s="131"/>
      <c r="CJ131" s="131"/>
      <c r="CK131" s="131"/>
      <c r="CL131" s="131"/>
      <c r="CM131" s="131"/>
      <c r="CN131" s="131"/>
      <c r="CO131" s="131"/>
      <c r="CP131" s="131"/>
      <c r="CQ131" s="131"/>
      <c r="CR131" s="131"/>
      <c r="CS131" s="131"/>
      <c r="CT131" s="131"/>
      <c r="CU131" s="131"/>
      <c r="CV131" s="131"/>
      <c r="CW131" s="131"/>
      <c r="CX131" s="132"/>
    </row>
    <row r="132" spans="2:102">
      <c r="B132" s="133"/>
      <c r="C132" s="135"/>
      <c r="D132" s="135"/>
      <c r="E132" s="135"/>
      <c r="F132" s="135"/>
      <c r="G132" s="135"/>
      <c r="AE132" s="135"/>
      <c r="AF132" s="135"/>
      <c r="AG132" s="135"/>
      <c r="AH132" s="135"/>
      <c r="AI132" s="135"/>
      <c r="AJ132" s="135"/>
      <c r="AK132" s="135"/>
      <c r="AL132" s="135"/>
      <c r="AM132" s="135"/>
      <c r="AN132" s="135"/>
      <c r="AO132" s="135"/>
      <c r="AP132" s="135"/>
      <c r="AQ132" s="135"/>
      <c r="AR132" s="135"/>
      <c r="AS132" s="135"/>
      <c r="AT132" s="135"/>
      <c r="AU132" s="135"/>
      <c r="AV132" s="135"/>
      <c r="AW132" s="135"/>
      <c r="AX132" s="135"/>
      <c r="AY132" s="135"/>
      <c r="AZ132" s="135"/>
      <c r="BA132" s="135"/>
      <c r="BB132" s="135"/>
      <c r="BC132" s="135"/>
      <c r="BD132" s="135"/>
      <c r="BE132" s="135"/>
      <c r="BF132" s="135"/>
      <c r="BG132" s="135"/>
      <c r="BH132" s="135"/>
      <c r="BI132" s="135"/>
      <c r="BJ132" s="135"/>
      <c r="BK132" s="135"/>
      <c r="BL132" s="135"/>
      <c r="BM132" s="135"/>
      <c r="BN132" s="135"/>
      <c r="BO132" s="135"/>
      <c r="BP132" s="135"/>
      <c r="BQ132" s="135"/>
      <c r="BR132" s="135"/>
      <c r="BS132" s="135"/>
      <c r="BT132" s="135"/>
      <c r="BU132" s="135"/>
      <c r="BV132" s="135"/>
      <c r="BW132" s="135"/>
      <c r="BX132" s="135"/>
      <c r="BY132" s="135"/>
      <c r="BZ132" s="135"/>
      <c r="CA132" s="135"/>
      <c r="CB132" s="135"/>
      <c r="CC132" s="135"/>
      <c r="CD132" s="135"/>
      <c r="CE132" s="135"/>
      <c r="CF132" s="135"/>
      <c r="CG132" s="135"/>
      <c r="CH132" s="135"/>
      <c r="CI132" s="135"/>
      <c r="CJ132" s="135"/>
      <c r="CK132" s="135"/>
      <c r="CL132" s="135"/>
      <c r="CM132" s="135"/>
      <c r="CN132" s="135"/>
      <c r="CO132" s="135"/>
      <c r="CP132" s="135"/>
      <c r="CQ132" s="135"/>
      <c r="CR132" s="135"/>
      <c r="CS132" s="135"/>
      <c r="CT132" s="135"/>
      <c r="CU132" s="135"/>
      <c r="CV132" s="135"/>
      <c r="CW132" s="135"/>
      <c r="CX132" s="136"/>
    </row>
    <row r="133" spans="2:102">
      <c r="B133" s="133"/>
      <c r="C133" s="135"/>
      <c r="D133" s="135"/>
      <c r="E133" s="135"/>
      <c r="F133" s="135"/>
      <c r="G133" s="135"/>
      <c r="AE133" s="135"/>
      <c r="AF133" s="135"/>
      <c r="AG133" s="135"/>
      <c r="AH133" s="135"/>
      <c r="AI133" s="135"/>
      <c r="AJ133" s="135"/>
      <c r="AK133" s="135"/>
      <c r="AL133" s="135"/>
      <c r="AM133" s="135"/>
      <c r="AN133" s="135"/>
      <c r="AO133" s="135"/>
      <c r="AP133" s="135"/>
      <c r="AQ133" s="135"/>
      <c r="AR133" s="135"/>
      <c r="AS133" s="135"/>
      <c r="AT133" s="135"/>
      <c r="AU133" s="135"/>
      <c r="AV133" s="135"/>
      <c r="AW133" s="135"/>
      <c r="AX133" s="135"/>
      <c r="AY133" s="135"/>
      <c r="AZ133" s="135"/>
      <c r="BA133" s="135"/>
      <c r="BB133" s="135"/>
      <c r="BC133" s="135"/>
      <c r="BD133" s="135"/>
      <c r="BE133" s="135"/>
      <c r="BF133" s="135"/>
      <c r="BG133" s="135"/>
      <c r="BH133" s="135"/>
      <c r="BI133" s="135"/>
      <c r="BJ133" s="135"/>
      <c r="BK133" s="135"/>
      <c r="BL133" s="135"/>
      <c r="BM133" s="135"/>
      <c r="BN133" s="135"/>
      <c r="BO133" s="135"/>
      <c r="BP133" s="135"/>
      <c r="BQ133" s="135"/>
      <c r="BR133" s="135"/>
      <c r="BS133" s="135"/>
      <c r="BT133" s="135"/>
      <c r="BU133" s="135"/>
      <c r="BV133" s="135"/>
      <c r="BW133" s="135"/>
      <c r="BX133" s="135"/>
      <c r="BY133" s="135"/>
      <c r="BZ133" s="135"/>
      <c r="CA133" s="135"/>
      <c r="CB133" s="135"/>
      <c r="CC133" s="135"/>
      <c r="CD133" s="135"/>
      <c r="CE133" s="135"/>
      <c r="CF133" s="135"/>
      <c r="CG133" s="135"/>
      <c r="CH133" s="135"/>
      <c r="CI133" s="135"/>
      <c r="CJ133" s="135"/>
      <c r="CK133" s="135"/>
      <c r="CL133" s="135"/>
      <c r="CM133" s="135"/>
      <c r="CN133" s="135"/>
      <c r="CO133" s="135"/>
      <c r="CP133" s="135"/>
      <c r="CQ133" s="135"/>
      <c r="CR133" s="135"/>
      <c r="CS133" s="135"/>
      <c r="CT133" s="135"/>
      <c r="CU133" s="135"/>
      <c r="CV133" s="135"/>
      <c r="CW133" s="135"/>
      <c r="CX133" s="136"/>
    </row>
    <row r="134" spans="2:102">
      <c r="B134" s="133"/>
      <c r="C134" s="135"/>
      <c r="D134" s="135"/>
      <c r="E134" s="135"/>
      <c r="F134" s="135"/>
      <c r="G134" s="135"/>
      <c r="H134" s="135" t="s">
        <v>111</v>
      </c>
      <c r="I134" s="135"/>
      <c r="J134" s="135"/>
      <c r="K134" s="135"/>
      <c r="L134" s="135"/>
      <c r="M134" s="135"/>
      <c r="N134" s="135" t="s">
        <v>129</v>
      </c>
      <c r="O134" s="135"/>
      <c r="P134" s="135"/>
      <c r="Q134" s="135"/>
      <c r="R134" s="135"/>
      <c r="S134" s="135"/>
      <c r="T134" s="135"/>
      <c r="U134" s="135"/>
      <c r="V134" s="135"/>
      <c r="W134" s="135"/>
      <c r="X134" s="135"/>
      <c r="Y134" s="135"/>
      <c r="Z134" s="135"/>
      <c r="AA134" s="135"/>
      <c r="AB134" s="135"/>
      <c r="AC134" s="135"/>
      <c r="AD134" s="135"/>
      <c r="AE134" s="135"/>
      <c r="AF134" s="135"/>
      <c r="AG134" s="135"/>
      <c r="AH134" s="135"/>
      <c r="AI134" s="135"/>
      <c r="AJ134" s="135"/>
      <c r="AK134" s="135"/>
      <c r="AL134" s="135"/>
      <c r="AM134" s="135"/>
      <c r="AN134" s="135"/>
      <c r="AO134" s="135"/>
      <c r="AP134" s="135"/>
      <c r="AQ134" s="135"/>
      <c r="AR134" s="135"/>
      <c r="AS134" s="135"/>
      <c r="AT134" s="135"/>
      <c r="AU134" s="135"/>
      <c r="AV134" s="135"/>
      <c r="AW134" s="135"/>
      <c r="AX134" s="135"/>
      <c r="AY134" s="135"/>
      <c r="AZ134" s="135"/>
      <c r="BA134" s="135"/>
      <c r="BB134" s="135"/>
      <c r="BC134" s="135"/>
      <c r="BD134" s="135"/>
      <c r="BE134" s="135"/>
      <c r="BF134" s="135"/>
      <c r="BG134" s="135"/>
      <c r="BH134" s="135"/>
      <c r="BI134" s="135"/>
      <c r="BJ134" s="135"/>
      <c r="BK134" s="135"/>
      <c r="BL134" s="135"/>
      <c r="BM134" s="135"/>
      <c r="BN134" s="135"/>
      <c r="BO134" s="135"/>
      <c r="BP134" s="135"/>
      <c r="BQ134" s="135"/>
      <c r="BR134" s="135"/>
      <c r="BS134" s="135"/>
      <c r="BT134" s="135"/>
      <c r="BU134" s="135"/>
      <c r="BV134" s="135"/>
      <c r="BW134" s="135"/>
      <c r="BX134" s="135"/>
      <c r="BY134" s="135"/>
      <c r="BZ134" s="135"/>
      <c r="CA134" s="135"/>
      <c r="CB134" s="135"/>
      <c r="CC134" s="135"/>
      <c r="CD134" s="135"/>
      <c r="CE134" s="135"/>
      <c r="CF134" s="135"/>
      <c r="CG134" s="135"/>
      <c r="CH134" s="135"/>
      <c r="CI134" s="135"/>
      <c r="CJ134" s="135"/>
      <c r="CK134" s="135"/>
      <c r="CL134" s="135"/>
      <c r="CM134" s="135"/>
      <c r="CN134" s="135"/>
      <c r="CO134" s="135"/>
      <c r="CP134" s="135"/>
      <c r="CQ134" s="135"/>
      <c r="CR134" s="135"/>
      <c r="CS134" s="135"/>
      <c r="CT134" s="135"/>
      <c r="CU134" s="135"/>
      <c r="CV134" s="135"/>
      <c r="CW134" s="135"/>
      <c r="CX134" s="136"/>
    </row>
    <row r="135" spans="2:102">
      <c r="B135" s="133"/>
      <c r="C135" s="135"/>
      <c r="D135" s="135"/>
      <c r="E135" s="135"/>
      <c r="F135" s="135"/>
      <c r="G135" s="135"/>
      <c r="H135" s="135"/>
      <c r="I135" s="135"/>
      <c r="J135" s="135"/>
      <c r="K135" s="135"/>
      <c r="L135" s="135"/>
      <c r="M135" s="135"/>
      <c r="N135" s="135" t="s">
        <v>130</v>
      </c>
      <c r="O135" s="135"/>
      <c r="P135" s="135"/>
      <c r="Q135" s="135"/>
      <c r="R135" s="135"/>
      <c r="S135" s="135"/>
      <c r="T135" s="135"/>
      <c r="U135" s="135"/>
      <c r="V135" s="135"/>
      <c r="W135" s="135"/>
      <c r="X135" s="135"/>
      <c r="Y135" s="135"/>
      <c r="Z135" s="135"/>
      <c r="AA135" s="135"/>
      <c r="AB135" s="135"/>
      <c r="AC135" s="135"/>
      <c r="AD135" s="135"/>
      <c r="AE135" s="135"/>
      <c r="AF135" s="135"/>
      <c r="AG135" s="135"/>
      <c r="AH135" s="135"/>
      <c r="AI135" s="135"/>
      <c r="AJ135" s="135"/>
      <c r="AK135" s="135"/>
      <c r="AL135" s="135"/>
      <c r="AM135" s="135"/>
      <c r="AN135" s="135"/>
      <c r="AO135" s="135"/>
      <c r="AP135" s="135"/>
      <c r="AQ135" s="135"/>
      <c r="AR135" s="135"/>
      <c r="AS135" s="135"/>
      <c r="AT135" s="135"/>
      <c r="AU135" s="135"/>
      <c r="AV135" s="135"/>
      <c r="AW135" s="135"/>
      <c r="AX135" s="135"/>
      <c r="AY135" s="135"/>
      <c r="AZ135" s="135"/>
      <c r="BA135" s="135"/>
      <c r="BB135" s="135"/>
      <c r="BC135" s="135"/>
      <c r="BD135" s="135"/>
      <c r="BE135" s="135"/>
      <c r="BF135" s="135"/>
      <c r="BG135" s="135"/>
      <c r="BH135" s="135"/>
      <c r="BI135" s="135"/>
      <c r="BJ135" s="135"/>
      <c r="BK135" s="135"/>
      <c r="BL135" s="135"/>
      <c r="BM135" s="135"/>
      <c r="BN135" s="135"/>
      <c r="BO135" s="135"/>
      <c r="BP135" s="135"/>
      <c r="BQ135" s="135"/>
      <c r="BR135" s="135"/>
      <c r="BS135" s="135"/>
      <c r="BT135" s="135"/>
      <c r="BU135" s="135"/>
      <c r="BV135" s="135"/>
      <c r="BW135" s="135"/>
      <c r="BX135" s="135"/>
      <c r="BY135" s="135"/>
      <c r="BZ135" s="135"/>
      <c r="CA135" s="135"/>
      <c r="CB135" s="135"/>
      <c r="CC135" s="135"/>
      <c r="CD135" s="135"/>
      <c r="CE135" s="135"/>
      <c r="CF135" s="135"/>
      <c r="CG135" s="135"/>
      <c r="CH135" s="135"/>
      <c r="CI135" s="135"/>
      <c r="CJ135" s="135"/>
      <c r="CK135" s="135"/>
      <c r="CL135" s="135"/>
      <c r="CM135" s="135"/>
      <c r="CN135" s="135"/>
      <c r="CO135" s="135"/>
      <c r="CP135" s="135"/>
      <c r="CQ135" s="135"/>
      <c r="CR135" s="135"/>
      <c r="CS135" s="135"/>
      <c r="CT135" s="135"/>
      <c r="CU135" s="135"/>
      <c r="CV135" s="135"/>
      <c r="CW135" s="135"/>
      <c r="CX135" s="136"/>
    </row>
    <row r="136" spans="2:102">
      <c r="B136" s="133"/>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c r="AB136" s="135"/>
      <c r="AC136" s="135"/>
      <c r="AD136" s="135"/>
      <c r="AE136" s="135"/>
      <c r="AF136" s="135"/>
      <c r="AG136" s="135"/>
      <c r="AH136" s="135"/>
      <c r="AI136" s="135"/>
      <c r="AJ136" s="135"/>
      <c r="AK136" s="135"/>
      <c r="AL136" s="135"/>
      <c r="AM136" s="135"/>
      <c r="AN136" s="135"/>
      <c r="AO136" s="135"/>
      <c r="AP136" s="135"/>
      <c r="AQ136" s="135"/>
      <c r="AR136" s="135"/>
      <c r="AS136" s="135"/>
      <c r="AT136" s="135"/>
      <c r="AU136" s="135"/>
      <c r="AV136" s="135"/>
      <c r="AW136" s="135"/>
      <c r="AX136" s="135"/>
      <c r="AY136" s="135"/>
      <c r="AZ136" s="135"/>
      <c r="BA136" s="135"/>
      <c r="BB136" s="135"/>
      <c r="BC136" s="135"/>
      <c r="BD136" s="135"/>
      <c r="BE136" s="135"/>
      <c r="BF136" s="135"/>
      <c r="BG136" s="135"/>
      <c r="BH136" s="135"/>
      <c r="BI136" s="135"/>
      <c r="BJ136" s="135"/>
      <c r="BK136" s="135"/>
      <c r="BL136" s="135"/>
      <c r="BM136" s="135"/>
      <c r="BN136" s="135"/>
      <c r="BO136" s="135"/>
      <c r="BP136" s="135"/>
      <c r="BQ136" s="135"/>
      <c r="BR136" s="135"/>
      <c r="BS136" s="135"/>
      <c r="BT136" s="135"/>
      <c r="BU136" s="135"/>
      <c r="BV136" s="135"/>
      <c r="BW136" s="135"/>
      <c r="BX136" s="135"/>
      <c r="BY136" s="135"/>
      <c r="BZ136" s="135"/>
      <c r="CA136" s="135"/>
      <c r="CB136" s="135"/>
      <c r="CC136" s="135"/>
      <c r="CD136" s="135"/>
      <c r="CE136" s="135"/>
      <c r="CF136" s="135"/>
      <c r="CG136" s="135"/>
      <c r="CH136" s="135"/>
      <c r="CI136" s="135"/>
      <c r="CJ136" s="135"/>
      <c r="CK136" s="135"/>
      <c r="CL136" s="135"/>
      <c r="CM136" s="135"/>
      <c r="CN136" s="135"/>
      <c r="CO136" s="135"/>
      <c r="CP136" s="135"/>
      <c r="CQ136" s="135"/>
      <c r="CR136" s="135"/>
      <c r="CS136" s="135"/>
      <c r="CT136" s="135"/>
      <c r="CU136" s="135"/>
      <c r="CV136" s="135"/>
      <c r="CW136" s="135"/>
      <c r="CX136" s="136"/>
    </row>
    <row r="137" spans="2:102">
      <c r="B137" s="133"/>
      <c r="C137" s="135"/>
      <c r="D137" s="135"/>
      <c r="E137" s="135"/>
      <c r="F137" s="135"/>
      <c r="G137" s="135"/>
      <c r="H137" s="135"/>
      <c r="I137" s="135"/>
      <c r="J137" s="135"/>
      <c r="K137" s="135"/>
      <c r="L137" s="135"/>
      <c r="M137" s="135"/>
      <c r="N137" s="138" t="s">
        <v>123</v>
      </c>
      <c r="O137" s="135"/>
      <c r="P137" s="135"/>
      <c r="Q137" s="135"/>
      <c r="R137" s="135"/>
      <c r="S137" s="135"/>
      <c r="T137" s="135"/>
      <c r="U137" s="135"/>
      <c r="V137" s="135"/>
      <c r="W137" s="144" t="s">
        <v>124</v>
      </c>
      <c r="X137" s="135"/>
      <c r="Y137" s="135"/>
      <c r="Z137" s="135"/>
      <c r="AA137" s="135"/>
      <c r="AB137" s="135"/>
      <c r="AC137" s="135"/>
      <c r="AD137" s="135"/>
      <c r="AE137" s="135"/>
      <c r="AF137" s="135"/>
      <c r="AG137" s="135"/>
      <c r="AH137" s="135"/>
      <c r="AI137" s="135"/>
      <c r="AJ137" s="135"/>
      <c r="AK137" s="135"/>
      <c r="AL137" s="135"/>
      <c r="AM137" s="135"/>
      <c r="AN137" s="135"/>
      <c r="AO137" s="135"/>
      <c r="AP137" s="135"/>
      <c r="AQ137" s="135"/>
      <c r="AR137" s="135"/>
      <c r="AS137" s="135"/>
      <c r="AT137" s="135"/>
      <c r="AU137" s="135"/>
      <c r="AV137" s="135"/>
      <c r="AW137" s="135"/>
      <c r="AX137" s="135"/>
      <c r="AY137" s="135"/>
      <c r="AZ137" s="135"/>
      <c r="BA137" s="135"/>
      <c r="BB137" s="135"/>
      <c r="BC137" s="135"/>
      <c r="BD137" s="135"/>
      <c r="BE137" s="135"/>
      <c r="BF137" s="135"/>
      <c r="BG137" s="135"/>
      <c r="BH137" s="135"/>
      <c r="BI137" s="135"/>
      <c r="BJ137" s="135"/>
      <c r="BK137" s="135"/>
      <c r="BL137" s="135"/>
      <c r="BM137" s="135"/>
      <c r="BN137" s="135"/>
      <c r="BO137" s="135"/>
      <c r="BP137" s="135"/>
      <c r="BQ137" s="135"/>
      <c r="BR137" s="135"/>
      <c r="BS137" s="135"/>
      <c r="BT137" s="135"/>
      <c r="BU137" s="135"/>
      <c r="BV137" s="135"/>
      <c r="BW137" s="135"/>
      <c r="BX137" s="135"/>
      <c r="BY137" s="135"/>
      <c r="BZ137" s="135"/>
      <c r="CA137" s="135"/>
      <c r="CB137" s="135"/>
      <c r="CC137" s="135"/>
      <c r="CD137" s="135"/>
      <c r="CE137" s="135"/>
      <c r="CF137" s="135"/>
      <c r="CG137" s="135"/>
      <c r="CH137" s="135"/>
      <c r="CI137" s="135"/>
      <c r="CJ137" s="135"/>
      <c r="CK137" s="135"/>
      <c r="CL137" s="135"/>
      <c r="CM137" s="135"/>
      <c r="CN137" s="135"/>
      <c r="CO137" s="135"/>
      <c r="CP137" s="135"/>
      <c r="CQ137" s="135"/>
      <c r="CR137" s="135"/>
      <c r="CS137" s="135"/>
      <c r="CT137" s="135"/>
      <c r="CU137" s="135"/>
      <c r="CV137" s="135"/>
      <c r="CW137" s="135"/>
      <c r="CX137" s="136"/>
    </row>
    <row r="138" spans="2:102">
      <c r="B138" s="133"/>
      <c r="C138" s="135"/>
      <c r="D138" s="135"/>
      <c r="E138" s="135"/>
      <c r="F138" s="135"/>
      <c r="G138" s="135"/>
      <c r="H138" s="135"/>
      <c r="I138" s="135"/>
      <c r="J138" s="135"/>
      <c r="K138" s="135"/>
      <c r="L138" s="135"/>
      <c r="M138" s="135"/>
      <c r="N138" s="138" t="s">
        <v>125</v>
      </c>
      <c r="O138" s="135"/>
      <c r="P138" s="135"/>
      <c r="Q138" s="135"/>
      <c r="R138" s="135"/>
      <c r="S138" s="135"/>
      <c r="T138" s="135"/>
      <c r="U138" s="135"/>
      <c r="V138" s="135"/>
      <c r="W138" s="135"/>
      <c r="X138" s="135"/>
      <c r="Y138" s="135"/>
      <c r="Z138" s="135"/>
      <c r="AA138" s="135"/>
      <c r="AB138" s="135"/>
      <c r="AC138" s="135"/>
      <c r="AD138" s="135"/>
      <c r="AE138" s="135"/>
      <c r="AF138" s="135"/>
      <c r="AG138" s="135"/>
      <c r="AH138" s="135"/>
      <c r="AI138" s="135"/>
      <c r="AJ138" s="135"/>
      <c r="AK138" s="135"/>
      <c r="AL138" s="135"/>
      <c r="AM138" s="135"/>
      <c r="AN138" s="135"/>
      <c r="AO138" s="135"/>
      <c r="AP138" s="135"/>
      <c r="AQ138" s="135"/>
      <c r="AR138" s="135"/>
      <c r="AS138" s="135"/>
      <c r="AT138" s="135"/>
      <c r="AU138" s="135"/>
      <c r="AV138" s="135"/>
      <c r="AW138" s="135"/>
      <c r="AX138" s="135"/>
      <c r="AY138" s="135"/>
      <c r="AZ138" s="135"/>
      <c r="BA138" s="135"/>
      <c r="BB138" s="135"/>
      <c r="BC138" s="135"/>
      <c r="BD138" s="135"/>
      <c r="BE138" s="135"/>
      <c r="BF138" s="135"/>
      <c r="BG138" s="135"/>
      <c r="BH138" s="135"/>
      <c r="BI138" s="135"/>
      <c r="BJ138" s="135"/>
      <c r="BK138" s="135"/>
      <c r="BL138" s="135"/>
      <c r="BM138" s="135"/>
      <c r="BN138" s="135"/>
      <c r="BO138" s="135"/>
      <c r="BP138" s="135"/>
      <c r="BQ138" s="135"/>
      <c r="BR138" s="135"/>
      <c r="BS138" s="135"/>
      <c r="BT138" s="135"/>
      <c r="BU138" s="135"/>
      <c r="BV138" s="135"/>
      <c r="BW138" s="135"/>
      <c r="BX138" s="135"/>
      <c r="BY138" s="135"/>
      <c r="BZ138" s="135"/>
      <c r="CA138" s="135"/>
      <c r="CB138" s="135"/>
      <c r="CC138" s="135"/>
      <c r="CD138" s="135"/>
      <c r="CE138" s="135"/>
      <c r="CF138" s="135"/>
      <c r="CG138" s="135"/>
      <c r="CH138" s="135"/>
      <c r="CI138" s="135"/>
      <c r="CJ138" s="135"/>
      <c r="CK138" s="135"/>
      <c r="CL138" s="135"/>
      <c r="CM138" s="135"/>
      <c r="CN138" s="135"/>
      <c r="CO138" s="135"/>
      <c r="CP138" s="135"/>
      <c r="CQ138" s="135"/>
      <c r="CR138" s="135"/>
      <c r="CS138" s="135"/>
      <c r="CT138" s="135"/>
      <c r="CU138" s="135"/>
      <c r="CV138" s="135"/>
      <c r="CW138" s="135"/>
      <c r="CX138" s="136"/>
    </row>
    <row r="139" spans="2:102">
      <c r="B139" s="133"/>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35"/>
      <c r="AL139" s="135"/>
      <c r="AM139" s="135"/>
      <c r="AN139" s="135"/>
      <c r="AO139" s="135"/>
      <c r="AP139" s="135"/>
      <c r="AQ139" s="135"/>
      <c r="AR139" s="135"/>
      <c r="AS139" s="135"/>
      <c r="AT139" s="135"/>
      <c r="AU139" s="135"/>
      <c r="AV139" s="135"/>
      <c r="AW139" s="135"/>
      <c r="AX139" s="135"/>
      <c r="AY139" s="135"/>
      <c r="AZ139" s="135"/>
      <c r="BA139" s="135"/>
      <c r="BB139" s="135"/>
      <c r="BC139" s="135"/>
      <c r="BD139" s="135"/>
      <c r="BE139" s="135"/>
      <c r="BF139" s="135"/>
      <c r="BG139" s="135"/>
      <c r="BH139" s="135"/>
      <c r="BI139" s="135"/>
      <c r="BJ139" s="135"/>
      <c r="BK139" s="135"/>
      <c r="BL139" s="135"/>
      <c r="BM139" s="135"/>
      <c r="BN139" s="135"/>
      <c r="BO139" s="135"/>
      <c r="BP139" s="135"/>
      <c r="BQ139" s="135"/>
      <c r="BR139" s="135"/>
      <c r="BS139" s="135"/>
      <c r="BT139" s="135"/>
      <c r="BU139" s="135"/>
      <c r="BV139" s="135"/>
      <c r="BW139" s="135"/>
      <c r="BX139" s="135"/>
      <c r="BY139" s="135"/>
      <c r="BZ139" s="135"/>
      <c r="CA139" s="135"/>
      <c r="CB139" s="135"/>
      <c r="CC139" s="135"/>
      <c r="CD139" s="135"/>
      <c r="CE139" s="135"/>
      <c r="CF139" s="135"/>
      <c r="CG139" s="135"/>
      <c r="CH139" s="135"/>
      <c r="CI139" s="135"/>
      <c r="CJ139" s="135"/>
      <c r="CK139" s="135"/>
      <c r="CL139" s="135"/>
      <c r="CM139" s="135"/>
      <c r="CN139" s="135"/>
      <c r="CO139" s="135"/>
      <c r="CP139" s="135"/>
      <c r="CQ139" s="135"/>
      <c r="CR139" s="135"/>
      <c r="CS139" s="135"/>
      <c r="CT139" s="135"/>
      <c r="CU139" s="135"/>
      <c r="CV139" s="135"/>
      <c r="CW139" s="135"/>
      <c r="CX139" s="136"/>
    </row>
    <row r="140" spans="2:102">
      <c r="B140" s="133"/>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135"/>
      <c r="AV140" s="135"/>
      <c r="AW140" s="135"/>
      <c r="AX140" s="135"/>
      <c r="AY140" s="135"/>
      <c r="AZ140" s="135"/>
      <c r="BA140" s="135"/>
      <c r="BB140" s="135"/>
      <c r="BC140" s="135"/>
      <c r="BD140" s="135"/>
      <c r="BE140" s="135"/>
      <c r="BF140" s="135"/>
      <c r="BG140" s="135"/>
      <c r="BH140" s="135"/>
      <c r="BI140" s="135"/>
      <c r="BJ140" s="135"/>
      <c r="BK140" s="135"/>
      <c r="BL140" s="135"/>
      <c r="BM140" s="135"/>
      <c r="BN140" s="135"/>
      <c r="BO140" s="135"/>
      <c r="BP140" s="135"/>
      <c r="BQ140" s="135"/>
      <c r="BR140" s="135"/>
      <c r="BS140" s="135"/>
      <c r="BT140" s="135"/>
      <c r="BU140" s="135"/>
      <c r="BV140" s="135"/>
      <c r="BW140" s="135"/>
      <c r="BX140" s="135"/>
      <c r="BY140" s="135"/>
      <c r="BZ140" s="135"/>
      <c r="CA140" s="135"/>
      <c r="CB140" s="135"/>
      <c r="CC140" s="135"/>
      <c r="CD140" s="135"/>
      <c r="CE140" s="135"/>
      <c r="CF140" s="135"/>
      <c r="CG140" s="135"/>
      <c r="CH140" s="135"/>
      <c r="CI140" s="135"/>
      <c r="CJ140" s="135"/>
      <c r="CK140" s="135"/>
      <c r="CL140" s="135"/>
      <c r="CM140" s="135"/>
      <c r="CN140" s="135"/>
      <c r="CO140" s="135"/>
      <c r="CP140" s="135"/>
      <c r="CQ140" s="135"/>
      <c r="CR140" s="135"/>
      <c r="CS140" s="135"/>
      <c r="CT140" s="135"/>
      <c r="CU140" s="135"/>
      <c r="CV140" s="135"/>
      <c r="CW140" s="135"/>
      <c r="CX140" s="136"/>
    </row>
    <row r="141" spans="2:102">
      <c r="B141" s="133"/>
      <c r="C141" s="135"/>
      <c r="D141" s="135"/>
      <c r="E141" s="135"/>
      <c r="F141" s="135"/>
      <c r="G141" s="135"/>
      <c r="H141" s="135"/>
      <c r="I141" s="135"/>
      <c r="J141" s="135"/>
      <c r="K141" s="135"/>
      <c r="L141" s="135"/>
      <c r="M141" s="135"/>
      <c r="N141" s="138" t="s">
        <v>126</v>
      </c>
      <c r="O141" s="135"/>
      <c r="P141" s="135"/>
      <c r="Q141" s="135"/>
      <c r="R141" s="135"/>
      <c r="S141" s="135"/>
      <c r="T141" s="144"/>
      <c r="U141" s="135"/>
      <c r="V141" s="135"/>
      <c r="W141" s="144" t="s">
        <v>124</v>
      </c>
      <c r="X141" s="135"/>
      <c r="Y141" s="135"/>
      <c r="Z141" s="135"/>
      <c r="AA141" s="135"/>
      <c r="AB141" s="135"/>
      <c r="AC141" s="135"/>
      <c r="AD141" s="135"/>
      <c r="AE141" s="135"/>
      <c r="AF141" s="135"/>
      <c r="AG141" s="135"/>
      <c r="AH141" s="135"/>
      <c r="AI141" s="135"/>
      <c r="AJ141" s="135"/>
      <c r="AK141" s="135"/>
      <c r="AL141" s="135"/>
      <c r="AM141" s="135"/>
      <c r="AN141" s="135"/>
      <c r="AO141" s="135"/>
      <c r="AP141" s="135"/>
      <c r="AQ141" s="135"/>
      <c r="AR141" s="135"/>
      <c r="AS141" s="135"/>
      <c r="AT141" s="135"/>
      <c r="AU141" s="135"/>
      <c r="AV141" s="135"/>
      <c r="AW141" s="135"/>
      <c r="AX141" s="135"/>
      <c r="AY141" s="135"/>
      <c r="AZ141" s="135"/>
      <c r="BA141" s="135"/>
      <c r="BB141" s="135"/>
      <c r="BC141" s="135"/>
      <c r="BD141" s="135"/>
      <c r="BE141" s="135"/>
      <c r="BF141" s="135"/>
      <c r="BG141" s="135"/>
      <c r="BH141" s="135"/>
      <c r="BI141" s="135"/>
      <c r="BJ141" s="135"/>
      <c r="BK141" s="135"/>
      <c r="BL141" s="135"/>
      <c r="BM141" s="135"/>
      <c r="BN141" s="135"/>
      <c r="BO141" s="135"/>
      <c r="BP141" s="135"/>
      <c r="BQ141" s="135"/>
      <c r="BR141" s="135"/>
      <c r="BS141" s="135"/>
      <c r="BT141" s="135"/>
      <c r="BU141" s="135"/>
      <c r="BV141" s="135"/>
      <c r="BW141" s="135"/>
      <c r="BX141" s="135"/>
      <c r="BY141" s="135"/>
      <c r="BZ141" s="135"/>
      <c r="CA141" s="135"/>
      <c r="CB141" s="135"/>
      <c r="CC141" s="135"/>
      <c r="CD141" s="135"/>
      <c r="CE141" s="135"/>
      <c r="CF141" s="135"/>
      <c r="CG141" s="135"/>
      <c r="CH141" s="135"/>
      <c r="CI141" s="135"/>
      <c r="CJ141" s="135"/>
      <c r="CK141" s="135"/>
      <c r="CL141" s="135"/>
      <c r="CM141" s="135"/>
      <c r="CN141" s="135"/>
      <c r="CO141" s="135"/>
      <c r="CP141" s="135"/>
      <c r="CQ141" s="135"/>
      <c r="CR141" s="135"/>
      <c r="CS141" s="135"/>
      <c r="CT141" s="135"/>
      <c r="CU141" s="135"/>
      <c r="CV141" s="135"/>
      <c r="CW141" s="135"/>
      <c r="CX141" s="136"/>
    </row>
    <row r="142" spans="2:102">
      <c r="B142" s="133"/>
      <c r="C142" s="135"/>
      <c r="D142" s="135"/>
      <c r="E142" s="135"/>
      <c r="F142" s="135"/>
      <c r="G142" s="135"/>
      <c r="H142" s="135"/>
      <c r="I142" s="135"/>
      <c r="J142" s="135"/>
      <c r="K142" s="135"/>
      <c r="L142" s="135"/>
      <c r="M142" s="135"/>
      <c r="N142" s="138" t="s">
        <v>125</v>
      </c>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35"/>
      <c r="AL142" s="135"/>
      <c r="AM142" s="135"/>
      <c r="AN142" s="135"/>
      <c r="AO142" s="135"/>
      <c r="AP142" s="135"/>
      <c r="AQ142" s="135"/>
      <c r="AR142" s="135"/>
      <c r="AS142" s="135"/>
      <c r="AT142" s="135"/>
      <c r="AU142" s="135"/>
      <c r="AV142" s="135"/>
      <c r="AW142" s="135"/>
      <c r="AX142" s="135"/>
      <c r="AY142" s="135"/>
      <c r="AZ142" s="135"/>
      <c r="BA142" s="135"/>
      <c r="BB142" s="135"/>
      <c r="BC142" s="135"/>
      <c r="BD142" s="135"/>
      <c r="BE142" s="135"/>
      <c r="BF142" s="135"/>
      <c r="BG142" s="135"/>
      <c r="BH142" s="135"/>
      <c r="BI142" s="135"/>
      <c r="BJ142" s="135"/>
      <c r="BK142" s="135"/>
      <c r="BL142" s="135"/>
      <c r="BM142" s="135"/>
      <c r="BN142" s="135"/>
      <c r="BO142" s="135"/>
      <c r="BP142" s="135"/>
      <c r="BQ142" s="135"/>
      <c r="BR142" s="135"/>
      <c r="BS142" s="135"/>
      <c r="BT142" s="135"/>
      <c r="BU142" s="135"/>
      <c r="BV142" s="135"/>
      <c r="BW142" s="135"/>
      <c r="BX142" s="135"/>
      <c r="BY142" s="135"/>
      <c r="BZ142" s="135"/>
      <c r="CA142" s="135"/>
      <c r="CB142" s="135"/>
      <c r="CC142" s="135"/>
      <c r="CD142" s="135"/>
      <c r="CE142" s="135"/>
      <c r="CF142" s="135"/>
      <c r="CG142" s="135"/>
      <c r="CH142" s="135"/>
      <c r="CI142" s="135"/>
      <c r="CJ142" s="135"/>
      <c r="CK142" s="135"/>
      <c r="CL142" s="135"/>
      <c r="CM142" s="135"/>
      <c r="CN142" s="135"/>
      <c r="CO142" s="135"/>
      <c r="CP142" s="135"/>
      <c r="CQ142" s="135"/>
      <c r="CR142" s="135"/>
      <c r="CS142" s="135"/>
      <c r="CT142" s="135"/>
      <c r="CU142" s="135"/>
      <c r="CV142" s="135"/>
      <c r="CW142" s="135"/>
      <c r="CX142" s="136"/>
    </row>
    <row r="143" spans="2:102">
      <c r="B143" s="133"/>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c r="AB143" s="135"/>
      <c r="AC143" s="135"/>
      <c r="AD143" s="135"/>
      <c r="AE143" s="135"/>
      <c r="AF143" s="135"/>
      <c r="AG143" s="135"/>
      <c r="AH143" s="135"/>
      <c r="AI143" s="135"/>
      <c r="AJ143" s="135"/>
      <c r="AK143" s="135"/>
      <c r="AL143" s="135"/>
      <c r="AM143" s="135"/>
      <c r="AN143" s="135"/>
      <c r="AO143" s="135"/>
      <c r="AP143" s="135"/>
      <c r="AQ143" s="135"/>
      <c r="AR143" s="135"/>
      <c r="AS143" s="135"/>
      <c r="AT143" s="135"/>
      <c r="AU143" s="135"/>
      <c r="AV143" s="135"/>
      <c r="AW143" s="135"/>
      <c r="AX143" s="135"/>
      <c r="AY143" s="135"/>
      <c r="AZ143" s="135"/>
      <c r="BA143" s="135"/>
      <c r="BB143" s="135"/>
      <c r="BC143" s="135"/>
      <c r="BD143" s="135"/>
      <c r="BE143" s="135"/>
      <c r="BF143" s="135"/>
      <c r="BG143" s="135"/>
      <c r="BH143" s="135"/>
      <c r="BI143" s="135"/>
      <c r="BJ143" s="135"/>
      <c r="BK143" s="135"/>
      <c r="BL143" s="135"/>
      <c r="BM143" s="135"/>
      <c r="BN143" s="135"/>
      <c r="BO143" s="135"/>
      <c r="BP143" s="135"/>
      <c r="BQ143" s="135"/>
      <c r="BR143" s="135"/>
      <c r="BS143" s="135"/>
      <c r="BT143" s="135"/>
      <c r="BU143" s="135"/>
      <c r="BV143" s="135"/>
      <c r="BW143" s="135"/>
      <c r="BX143" s="135"/>
      <c r="BY143" s="135"/>
      <c r="BZ143" s="135"/>
      <c r="CA143" s="135"/>
      <c r="CB143" s="135"/>
      <c r="CC143" s="135"/>
      <c r="CD143" s="135"/>
      <c r="CE143" s="135"/>
      <c r="CF143" s="135"/>
      <c r="CG143" s="135"/>
      <c r="CH143" s="135"/>
      <c r="CI143" s="135"/>
      <c r="CJ143" s="135"/>
      <c r="CK143" s="135"/>
      <c r="CL143" s="135"/>
      <c r="CM143" s="135"/>
      <c r="CN143" s="135"/>
      <c r="CO143" s="135"/>
      <c r="CP143" s="135"/>
      <c r="CQ143" s="135"/>
      <c r="CR143" s="135"/>
      <c r="CS143" s="135"/>
      <c r="CT143" s="135"/>
      <c r="CU143" s="135"/>
      <c r="CV143" s="135"/>
      <c r="CW143" s="135"/>
      <c r="CX143" s="136"/>
    </row>
    <row r="144" spans="2:102">
      <c r="B144" s="133"/>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c r="AB144" s="135"/>
      <c r="AC144" s="135"/>
      <c r="AD144" s="135"/>
      <c r="AE144" s="135"/>
      <c r="AF144" s="135"/>
      <c r="AG144" s="135"/>
      <c r="AH144" s="135"/>
      <c r="AI144" s="135"/>
      <c r="AJ144" s="135"/>
      <c r="AK144" s="135"/>
      <c r="AL144" s="135"/>
      <c r="AM144" s="135"/>
      <c r="AN144" s="135"/>
      <c r="AO144" s="135"/>
      <c r="AP144" s="135"/>
      <c r="AQ144" s="135"/>
      <c r="AR144" s="135"/>
      <c r="AS144" s="135"/>
      <c r="AT144" s="135"/>
      <c r="AU144" s="135"/>
      <c r="AV144" s="135"/>
      <c r="AW144" s="135"/>
      <c r="AX144" s="135"/>
      <c r="AY144" s="135"/>
      <c r="AZ144" s="135"/>
      <c r="BA144" s="135"/>
      <c r="BB144" s="135"/>
      <c r="BC144" s="135"/>
      <c r="BD144" s="135"/>
      <c r="BE144" s="135"/>
      <c r="BF144" s="135"/>
      <c r="BG144" s="135"/>
      <c r="BH144" s="135"/>
      <c r="BI144" s="135"/>
      <c r="BJ144" s="135"/>
      <c r="BK144" s="135"/>
      <c r="BL144" s="135"/>
      <c r="BM144" s="135"/>
      <c r="BN144" s="135"/>
      <c r="BO144" s="135"/>
      <c r="BP144" s="135"/>
      <c r="BQ144" s="135"/>
      <c r="BR144" s="135"/>
      <c r="BS144" s="135"/>
      <c r="BT144" s="135"/>
      <c r="BU144" s="135"/>
      <c r="BV144" s="135"/>
      <c r="BW144" s="135"/>
      <c r="BX144" s="135"/>
      <c r="BY144" s="135"/>
      <c r="BZ144" s="135"/>
      <c r="CA144" s="135"/>
      <c r="CB144" s="135"/>
      <c r="CC144" s="135"/>
      <c r="CD144" s="135"/>
      <c r="CE144" s="135"/>
      <c r="CF144" s="135"/>
      <c r="CG144" s="135"/>
      <c r="CH144" s="135"/>
      <c r="CI144" s="135"/>
      <c r="CJ144" s="135"/>
      <c r="CK144" s="135"/>
      <c r="CL144" s="135"/>
      <c r="CM144" s="135"/>
      <c r="CN144" s="135"/>
      <c r="CO144" s="135"/>
      <c r="CP144" s="135"/>
      <c r="CQ144" s="135"/>
      <c r="CR144" s="135"/>
      <c r="CS144" s="135"/>
      <c r="CT144" s="135"/>
      <c r="CU144" s="135"/>
      <c r="CV144" s="135"/>
      <c r="CW144" s="135"/>
      <c r="CX144" s="136"/>
    </row>
    <row r="145" spans="2:102">
      <c r="B145" s="133"/>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35"/>
      <c r="AL145" s="135"/>
      <c r="AM145" s="135"/>
      <c r="AN145" s="135"/>
      <c r="AO145" s="135"/>
      <c r="AP145" s="135"/>
      <c r="AQ145" s="135"/>
      <c r="AR145" s="135"/>
      <c r="AS145" s="135"/>
      <c r="AT145" s="135"/>
      <c r="AU145" s="135"/>
      <c r="AV145" s="135"/>
      <c r="AW145" s="135"/>
      <c r="AX145" s="135"/>
      <c r="AY145" s="135"/>
      <c r="AZ145" s="135"/>
      <c r="BA145" s="135"/>
      <c r="BB145" s="135"/>
      <c r="BC145" s="135"/>
      <c r="BD145" s="135"/>
      <c r="BE145" s="135"/>
      <c r="BF145" s="135"/>
      <c r="BG145" s="135"/>
      <c r="BH145" s="135"/>
      <c r="BI145" s="135"/>
      <c r="BJ145" s="135"/>
      <c r="BK145" s="135"/>
      <c r="BL145" s="135"/>
      <c r="BM145" s="135"/>
      <c r="BN145" s="135"/>
      <c r="BO145" s="135"/>
      <c r="BP145" s="135"/>
      <c r="BQ145" s="135"/>
      <c r="BR145" s="135"/>
      <c r="BS145" s="135"/>
      <c r="BT145" s="135"/>
      <c r="BU145" s="135"/>
      <c r="BV145" s="135"/>
      <c r="BW145" s="135"/>
      <c r="BX145" s="135"/>
      <c r="BY145" s="135"/>
      <c r="BZ145" s="135"/>
      <c r="CA145" s="135"/>
      <c r="CB145" s="135"/>
      <c r="CC145" s="135"/>
      <c r="CD145" s="135"/>
      <c r="CE145" s="135"/>
      <c r="CF145" s="135"/>
      <c r="CG145" s="135"/>
      <c r="CH145" s="135"/>
      <c r="CI145" s="135"/>
      <c r="CJ145" s="135"/>
      <c r="CK145" s="135"/>
      <c r="CL145" s="135"/>
      <c r="CM145" s="135"/>
      <c r="CN145" s="135"/>
      <c r="CO145" s="135"/>
      <c r="CP145" s="135"/>
      <c r="CQ145" s="135"/>
      <c r="CR145" s="135"/>
      <c r="CS145" s="135"/>
      <c r="CT145" s="135"/>
      <c r="CU145" s="135"/>
      <c r="CV145" s="135"/>
      <c r="CW145" s="135"/>
      <c r="CX145" s="136"/>
    </row>
    <row r="146" spans="2:102">
      <c r="B146" s="133"/>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c r="AB146" s="135"/>
      <c r="AC146" s="135"/>
      <c r="AD146" s="135"/>
      <c r="AE146" s="135"/>
      <c r="AF146" s="135"/>
      <c r="AG146" s="135"/>
      <c r="AH146" s="135"/>
      <c r="AI146" s="135"/>
      <c r="AJ146" s="135"/>
      <c r="AK146" s="135"/>
      <c r="AL146" s="135"/>
      <c r="AM146" s="135"/>
      <c r="AN146" s="135"/>
      <c r="AO146" s="135"/>
      <c r="AP146" s="135"/>
      <c r="AQ146" s="135"/>
      <c r="AR146" s="135"/>
      <c r="AS146" s="135"/>
      <c r="AT146" s="135"/>
      <c r="AU146" s="135"/>
      <c r="AV146" s="135"/>
      <c r="AW146" s="135"/>
      <c r="AX146" s="135"/>
      <c r="AY146" s="135"/>
      <c r="AZ146" s="135"/>
      <c r="BA146" s="135"/>
      <c r="BB146" s="135"/>
      <c r="BC146" s="135"/>
      <c r="BD146" s="135"/>
      <c r="BE146" s="135"/>
      <c r="BF146" s="135"/>
      <c r="BG146" s="135"/>
      <c r="BH146" s="135"/>
      <c r="BI146" s="135"/>
      <c r="BJ146" s="135"/>
      <c r="BK146" s="135"/>
      <c r="BL146" s="135"/>
      <c r="BM146" s="135"/>
      <c r="BN146" s="135"/>
      <c r="BO146" s="135"/>
      <c r="BP146" s="135"/>
      <c r="BQ146" s="135"/>
      <c r="BR146" s="135"/>
      <c r="BS146" s="135"/>
      <c r="BT146" s="135"/>
      <c r="BU146" s="135"/>
      <c r="BV146" s="135"/>
      <c r="BW146" s="135"/>
      <c r="BX146" s="135"/>
      <c r="BY146" s="135"/>
      <c r="BZ146" s="135"/>
      <c r="CA146" s="135"/>
      <c r="CB146" s="135"/>
      <c r="CC146" s="135"/>
      <c r="CD146" s="135"/>
      <c r="CE146" s="135"/>
      <c r="CF146" s="135"/>
      <c r="CG146" s="135"/>
      <c r="CH146" s="135"/>
      <c r="CI146" s="135"/>
      <c r="CJ146" s="135"/>
      <c r="CK146" s="135"/>
      <c r="CL146" s="135"/>
      <c r="CM146" s="135"/>
      <c r="CN146" s="135"/>
      <c r="CO146" s="135"/>
      <c r="CP146" s="135"/>
      <c r="CQ146" s="135"/>
      <c r="CR146" s="135"/>
      <c r="CS146" s="135"/>
      <c r="CT146" s="135"/>
      <c r="CU146" s="135"/>
      <c r="CV146" s="135"/>
      <c r="CW146" s="135"/>
      <c r="CX146" s="136"/>
    </row>
    <row r="147" spans="2:102">
      <c r="B147" s="133"/>
      <c r="C147" s="135"/>
      <c r="D147" s="135"/>
      <c r="E147" s="135"/>
      <c r="F147" s="135"/>
      <c r="G147" s="135"/>
      <c r="H147" s="135" t="s">
        <v>131</v>
      </c>
      <c r="I147" s="135"/>
      <c r="J147" s="135"/>
      <c r="K147" s="135"/>
      <c r="L147" s="135"/>
      <c r="M147" s="135"/>
      <c r="N147" s="135" t="s">
        <v>132</v>
      </c>
      <c r="O147" s="135"/>
      <c r="P147" s="135"/>
      <c r="Q147" s="135"/>
      <c r="R147" s="135"/>
      <c r="S147" s="135"/>
      <c r="T147" s="135"/>
      <c r="U147" s="135"/>
      <c r="V147" s="135"/>
      <c r="W147" s="135"/>
      <c r="X147" s="135"/>
      <c r="Y147" s="135"/>
      <c r="Z147" s="135"/>
      <c r="AA147" s="135"/>
      <c r="AB147" s="135"/>
      <c r="AC147" s="135"/>
      <c r="AD147" s="135"/>
      <c r="AE147" s="135"/>
      <c r="AF147" s="135"/>
      <c r="AG147" s="135"/>
      <c r="AH147" s="135"/>
      <c r="AI147" s="135"/>
      <c r="AJ147" s="135"/>
      <c r="AK147" s="135"/>
      <c r="AL147" s="135"/>
      <c r="AM147" s="135"/>
      <c r="AN147" s="135"/>
      <c r="AO147" s="135"/>
      <c r="AP147" s="135"/>
      <c r="AQ147" s="135"/>
      <c r="AR147" s="135"/>
      <c r="AS147" s="135"/>
      <c r="AT147" s="135"/>
      <c r="AU147" s="135"/>
      <c r="AV147" s="135"/>
      <c r="AW147" s="135"/>
      <c r="AX147" s="135"/>
      <c r="AY147" s="135"/>
      <c r="AZ147" s="135"/>
      <c r="BA147" s="135"/>
      <c r="BB147" s="135"/>
      <c r="BC147" s="135"/>
      <c r="BD147" s="135"/>
      <c r="BE147" s="135"/>
      <c r="BF147" s="135"/>
      <c r="BG147" s="135"/>
      <c r="BH147" s="135"/>
      <c r="BI147" s="135"/>
      <c r="BJ147" s="135"/>
      <c r="BK147" s="135"/>
      <c r="BL147" s="135"/>
      <c r="BM147" s="135"/>
      <c r="BN147" s="135"/>
      <c r="BO147" s="135"/>
      <c r="BP147" s="135"/>
      <c r="BQ147" s="135"/>
      <c r="BR147" s="135"/>
      <c r="BS147" s="135"/>
      <c r="BT147" s="135"/>
      <c r="BU147" s="135"/>
      <c r="BV147" s="135"/>
      <c r="BW147" s="135"/>
      <c r="BX147" s="135"/>
      <c r="BY147" s="135"/>
      <c r="BZ147" s="135"/>
      <c r="CA147" s="135"/>
      <c r="CB147" s="135"/>
      <c r="CC147" s="135"/>
      <c r="CD147" s="135"/>
      <c r="CE147" s="135"/>
      <c r="CF147" s="135"/>
      <c r="CG147" s="135"/>
      <c r="CH147" s="135"/>
      <c r="CI147" s="135"/>
      <c r="CJ147" s="135"/>
      <c r="CK147" s="135"/>
      <c r="CL147" s="135"/>
      <c r="CM147" s="135"/>
      <c r="CN147" s="135"/>
      <c r="CO147" s="135"/>
      <c r="CP147" s="135"/>
      <c r="CQ147" s="135"/>
      <c r="CR147" s="135"/>
      <c r="CS147" s="135"/>
      <c r="CT147" s="135"/>
      <c r="CU147" s="135"/>
      <c r="CV147" s="135"/>
      <c r="CW147" s="135"/>
      <c r="CX147" s="136"/>
    </row>
    <row r="148" spans="2:102">
      <c r="B148" s="133"/>
      <c r="C148" s="135"/>
      <c r="D148" s="135"/>
      <c r="E148" s="135"/>
      <c r="F148" s="135"/>
      <c r="G148" s="135"/>
      <c r="H148" s="135"/>
      <c r="I148" s="135"/>
      <c r="J148" s="135"/>
      <c r="K148" s="135"/>
      <c r="L148" s="135"/>
      <c r="M148" s="135"/>
      <c r="N148" s="135" t="s">
        <v>133</v>
      </c>
      <c r="O148" s="135"/>
      <c r="P148" s="135"/>
      <c r="Q148" s="135"/>
      <c r="R148" s="135"/>
      <c r="S148" s="135"/>
      <c r="T148" s="135"/>
      <c r="U148" s="135"/>
      <c r="V148" s="135"/>
      <c r="W148" s="135"/>
      <c r="X148" s="135"/>
      <c r="Y148" s="135"/>
      <c r="Z148" s="135"/>
      <c r="AA148" s="135"/>
      <c r="AB148" s="135"/>
      <c r="AC148" s="135"/>
      <c r="AD148" s="135"/>
      <c r="AE148" s="135"/>
      <c r="AF148" s="135"/>
      <c r="AG148" s="135"/>
      <c r="AH148" s="135"/>
      <c r="AI148" s="135"/>
      <c r="AJ148" s="135"/>
      <c r="AK148" s="135"/>
      <c r="AL148" s="135"/>
      <c r="AM148" s="135"/>
      <c r="AN148" s="135"/>
      <c r="AO148" s="135"/>
      <c r="AP148" s="135"/>
      <c r="AQ148" s="135"/>
      <c r="AR148" s="135"/>
      <c r="AS148" s="135"/>
      <c r="AT148" s="135"/>
      <c r="AU148" s="135"/>
      <c r="AV148" s="135"/>
      <c r="AW148" s="135"/>
      <c r="AX148" s="135"/>
      <c r="AY148" s="135"/>
      <c r="AZ148" s="135"/>
      <c r="BA148" s="135"/>
      <c r="BB148" s="135"/>
      <c r="BC148" s="135"/>
      <c r="BD148" s="135"/>
      <c r="BE148" s="135"/>
      <c r="BF148" s="135"/>
      <c r="BG148" s="135"/>
      <c r="BH148" s="135"/>
      <c r="BI148" s="135"/>
      <c r="BJ148" s="135"/>
      <c r="BK148" s="135"/>
      <c r="BL148" s="135"/>
      <c r="BM148" s="135"/>
      <c r="BN148" s="135"/>
      <c r="BO148" s="135"/>
      <c r="BP148" s="135"/>
      <c r="BQ148" s="135"/>
      <c r="BR148" s="135"/>
      <c r="BS148" s="135"/>
      <c r="BT148" s="135"/>
      <c r="BU148" s="135"/>
      <c r="BV148" s="135"/>
      <c r="BW148" s="135"/>
      <c r="BX148" s="135"/>
      <c r="BY148" s="135"/>
      <c r="BZ148" s="135"/>
      <c r="CA148" s="135"/>
      <c r="CB148" s="135"/>
      <c r="CC148" s="135"/>
      <c r="CD148" s="135"/>
      <c r="CE148" s="135"/>
      <c r="CF148" s="135"/>
      <c r="CG148" s="135"/>
      <c r="CH148" s="135"/>
      <c r="CI148" s="135"/>
      <c r="CJ148" s="135"/>
      <c r="CK148" s="135"/>
      <c r="CL148" s="135"/>
      <c r="CM148" s="135"/>
      <c r="CN148" s="135"/>
      <c r="CO148" s="135"/>
      <c r="CP148" s="135"/>
      <c r="CQ148" s="135"/>
      <c r="CR148" s="135"/>
      <c r="CS148" s="135"/>
      <c r="CT148" s="135"/>
      <c r="CU148" s="135"/>
      <c r="CV148" s="135"/>
      <c r="CW148" s="135"/>
      <c r="CX148" s="136"/>
    </row>
    <row r="149" spans="2:102">
      <c r="B149" s="133"/>
      <c r="C149" s="135"/>
      <c r="D149" s="135"/>
      <c r="E149" s="135"/>
      <c r="F149" s="135"/>
      <c r="H149" s="135"/>
      <c r="I149" s="135"/>
      <c r="J149" s="135"/>
      <c r="K149" s="135"/>
      <c r="L149" s="135"/>
      <c r="M149" s="135"/>
      <c r="N149" s="135" t="s">
        <v>134</v>
      </c>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35"/>
      <c r="AL149" s="135"/>
      <c r="AM149" s="135"/>
      <c r="AN149" s="135"/>
      <c r="AO149" s="135"/>
      <c r="AP149" s="135"/>
      <c r="AQ149" s="135"/>
      <c r="AR149" s="135"/>
      <c r="AS149" s="135"/>
      <c r="AT149" s="135"/>
      <c r="AU149" s="135"/>
      <c r="AV149" s="135"/>
      <c r="AW149" s="135"/>
      <c r="AX149" s="135"/>
      <c r="AY149" s="135"/>
      <c r="AZ149" s="135"/>
      <c r="BA149" s="135"/>
      <c r="BB149" s="135"/>
      <c r="BC149" s="135"/>
      <c r="BD149" s="135"/>
      <c r="BE149" s="135"/>
      <c r="BF149" s="135"/>
      <c r="BG149" s="135"/>
      <c r="BH149" s="135"/>
      <c r="BI149" s="135"/>
      <c r="BJ149" s="135"/>
      <c r="BK149" s="135"/>
      <c r="BL149" s="135"/>
      <c r="BM149" s="135"/>
      <c r="BN149" s="135"/>
      <c r="BO149" s="135"/>
      <c r="BP149" s="135"/>
      <c r="BQ149" s="135"/>
      <c r="BR149" s="135"/>
      <c r="BS149" s="135"/>
      <c r="BT149" s="135"/>
      <c r="BU149" s="135"/>
      <c r="BV149" s="135"/>
      <c r="BW149" s="135"/>
      <c r="BX149" s="135"/>
      <c r="BY149" s="135"/>
      <c r="BZ149" s="135"/>
      <c r="CA149" s="135"/>
      <c r="CB149" s="135"/>
      <c r="CC149" s="135"/>
      <c r="CD149" s="135"/>
      <c r="CE149" s="135"/>
      <c r="CF149" s="135"/>
      <c r="CG149" s="135"/>
      <c r="CH149" s="135"/>
      <c r="CI149" s="135"/>
      <c r="CJ149" s="135"/>
      <c r="CK149" s="135"/>
      <c r="CL149" s="135"/>
      <c r="CM149" s="135"/>
      <c r="CN149" s="135"/>
      <c r="CO149" s="135"/>
      <c r="CP149" s="135"/>
      <c r="CQ149" s="135"/>
      <c r="CR149" s="135"/>
      <c r="CS149" s="135"/>
      <c r="CT149" s="135"/>
      <c r="CU149" s="135"/>
      <c r="CV149" s="135"/>
      <c r="CW149" s="135"/>
      <c r="CX149" s="136"/>
    </row>
    <row r="150" spans="2:102">
      <c r="B150" s="133"/>
      <c r="C150" s="135"/>
      <c r="D150" s="135"/>
      <c r="E150" s="135"/>
      <c r="F150" s="135"/>
      <c r="H150" s="135"/>
      <c r="I150" s="135"/>
      <c r="J150" s="135"/>
      <c r="K150" s="135"/>
      <c r="L150" s="135"/>
      <c r="M150" s="135"/>
      <c r="N150" s="135"/>
      <c r="O150" s="135"/>
      <c r="P150" s="135"/>
      <c r="Q150" s="135"/>
      <c r="R150" s="135"/>
      <c r="S150" s="135"/>
      <c r="T150" s="135"/>
      <c r="U150" s="135"/>
      <c r="V150" s="135"/>
      <c r="W150" s="135"/>
      <c r="X150" s="135"/>
      <c r="Y150" s="135"/>
      <c r="Z150" s="135"/>
      <c r="AA150" s="135"/>
      <c r="AB150" s="135"/>
      <c r="AC150" s="135"/>
      <c r="AD150" s="135"/>
      <c r="AE150" s="135"/>
      <c r="AF150" s="135"/>
      <c r="AG150" s="135"/>
      <c r="AH150" s="135"/>
      <c r="AI150" s="135"/>
      <c r="AJ150" s="135"/>
      <c r="AK150" s="135"/>
      <c r="AL150" s="135"/>
      <c r="AM150" s="135"/>
      <c r="AN150" s="135"/>
      <c r="AO150" s="135"/>
      <c r="AP150" s="135"/>
      <c r="AQ150" s="135"/>
      <c r="AR150" s="135"/>
      <c r="AS150" s="135"/>
      <c r="AT150" s="135"/>
      <c r="AU150" s="135"/>
      <c r="AV150" s="135"/>
      <c r="AW150" s="135"/>
      <c r="AX150" s="135"/>
      <c r="AY150" s="135"/>
      <c r="AZ150" s="135"/>
      <c r="BA150" s="135"/>
      <c r="BB150" s="135"/>
      <c r="BC150" s="135"/>
      <c r="BD150" s="135"/>
      <c r="BE150" s="135"/>
      <c r="BF150" s="135"/>
      <c r="BG150" s="135"/>
      <c r="BH150" s="135"/>
      <c r="BI150" s="135"/>
      <c r="BJ150" s="135"/>
      <c r="BK150" s="135"/>
      <c r="BL150" s="135"/>
      <c r="BM150" s="135"/>
      <c r="BN150" s="135"/>
      <c r="BO150" s="135"/>
      <c r="BP150" s="135"/>
      <c r="BQ150" s="135"/>
      <c r="BR150" s="135"/>
      <c r="BS150" s="135"/>
      <c r="BT150" s="135"/>
      <c r="BU150" s="135"/>
      <c r="BV150" s="135"/>
      <c r="BW150" s="135"/>
      <c r="BX150" s="135"/>
      <c r="BY150" s="135"/>
      <c r="BZ150" s="135"/>
      <c r="CA150" s="135"/>
      <c r="CB150" s="135"/>
      <c r="CC150" s="135"/>
      <c r="CD150" s="135"/>
      <c r="CE150" s="135"/>
      <c r="CF150" s="135"/>
      <c r="CG150" s="135"/>
      <c r="CH150" s="135"/>
      <c r="CI150" s="135"/>
      <c r="CJ150" s="135"/>
      <c r="CK150" s="135"/>
      <c r="CL150" s="135"/>
      <c r="CM150" s="135"/>
      <c r="CN150" s="135"/>
      <c r="CO150" s="135"/>
      <c r="CP150" s="135"/>
      <c r="CQ150" s="135"/>
      <c r="CR150" s="135"/>
      <c r="CS150" s="135"/>
      <c r="CT150" s="135"/>
      <c r="CU150" s="135"/>
      <c r="CV150" s="135"/>
      <c r="CW150" s="135"/>
      <c r="CX150" s="136"/>
    </row>
    <row r="151" spans="2:102">
      <c r="B151" s="133"/>
      <c r="C151" s="135"/>
      <c r="D151" s="135"/>
      <c r="E151" s="135"/>
      <c r="F151" s="135"/>
      <c r="H151" s="135" t="s">
        <v>135</v>
      </c>
      <c r="I151" s="135"/>
      <c r="J151" s="135"/>
      <c r="K151" s="135"/>
      <c r="L151" s="135"/>
      <c r="M151" s="135"/>
      <c r="N151" s="135" t="s">
        <v>136</v>
      </c>
      <c r="O151" s="135"/>
      <c r="P151" s="135"/>
      <c r="Q151" s="135"/>
      <c r="R151" s="135"/>
      <c r="S151" s="135"/>
      <c r="T151" s="135"/>
      <c r="U151" s="135"/>
      <c r="V151" s="135"/>
      <c r="W151" s="135"/>
      <c r="X151" s="135"/>
      <c r="Y151" s="135"/>
      <c r="Z151" s="135"/>
      <c r="AA151" s="135"/>
      <c r="AB151" s="135"/>
      <c r="AC151" s="135"/>
      <c r="AD151" s="135"/>
      <c r="AE151" s="135"/>
      <c r="AF151" s="135"/>
      <c r="AG151" s="135"/>
      <c r="AH151" s="135"/>
      <c r="AI151" s="135"/>
      <c r="AJ151" s="135"/>
      <c r="AK151" s="135"/>
      <c r="AL151" s="135"/>
      <c r="AM151" s="135"/>
      <c r="AN151" s="135"/>
      <c r="AO151" s="135"/>
      <c r="AP151" s="135"/>
      <c r="AQ151" s="135"/>
      <c r="AR151" s="135"/>
      <c r="AS151" s="135"/>
      <c r="AT151" s="135"/>
      <c r="AU151" s="135"/>
      <c r="AV151" s="135"/>
      <c r="AW151" s="135"/>
      <c r="AX151" s="135"/>
      <c r="AY151" s="135"/>
      <c r="AZ151" s="135"/>
      <c r="BA151" s="135"/>
      <c r="BB151" s="135"/>
      <c r="BC151" s="135"/>
      <c r="BD151" s="135"/>
      <c r="BE151" s="135"/>
      <c r="BF151" s="135"/>
      <c r="BG151" s="135"/>
      <c r="BH151" s="135"/>
      <c r="BI151" s="135"/>
      <c r="BJ151" s="135"/>
      <c r="BK151" s="135"/>
      <c r="BL151" s="135"/>
      <c r="BM151" s="135"/>
      <c r="BN151" s="135"/>
      <c r="BO151" s="135"/>
      <c r="BP151" s="135"/>
      <c r="BQ151" s="135"/>
      <c r="BR151" s="135"/>
      <c r="BS151" s="135"/>
      <c r="BT151" s="135"/>
      <c r="BU151" s="135"/>
      <c r="BV151" s="135"/>
      <c r="BW151" s="135"/>
      <c r="BX151" s="135"/>
      <c r="BY151" s="135"/>
      <c r="BZ151" s="135"/>
      <c r="CA151" s="135"/>
      <c r="CB151" s="135"/>
      <c r="CC151" s="135"/>
      <c r="CD151" s="135"/>
      <c r="CE151" s="135"/>
      <c r="CF151" s="135"/>
      <c r="CG151" s="135"/>
      <c r="CH151" s="135"/>
      <c r="CI151" s="135"/>
      <c r="CJ151" s="135"/>
      <c r="CK151" s="135"/>
      <c r="CL151" s="135"/>
      <c r="CM151" s="135"/>
      <c r="CN151" s="135"/>
      <c r="CO151" s="135"/>
      <c r="CP151" s="135"/>
      <c r="CQ151" s="135"/>
      <c r="CR151" s="135"/>
      <c r="CS151" s="135"/>
      <c r="CT151" s="135"/>
      <c r="CU151" s="135"/>
      <c r="CV151" s="135"/>
      <c r="CW151" s="135"/>
      <c r="CX151" s="136"/>
    </row>
    <row r="152" spans="2:102">
      <c r="B152" s="133"/>
      <c r="C152" s="135"/>
      <c r="D152" s="135"/>
      <c r="E152" s="135"/>
      <c r="F152" s="135"/>
      <c r="H152" s="135"/>
      <c r="I152" s="135"/>
      <c r="J152" s="135"/>
      <c r="K152" s="135"/>
      <c r="L152" s="135"/>
      <c r="M152" s="135"/>
      <c r="N152" s="135"/>
      <c r="O152" s="135"/>
      <c r="P152" s="135"/>
      <c r="Q152" s="135"/>
      <c r="R152" s="135"/>
      <c r="S152" s="135"/>
      <c r="T152" s="135"/>
      <c r="U152" s="135"/>
      <c r="V152" s="135"/>
      <c r="W152" s="135"/>
      <c r="X152" s="135"/>
      <c r="Y152" s="135"/>
      <c r="Z152" s="135"/>
      <c r="AA152" s="135"/>
      <c r="AB152" s="135"/>
      <c r="AC152" s="135"/>
      <c r="AD152" s="135"/>
      <c r="AE152" s="135"/>
      <c r="AF152" s="135"/>
      <c r="AG152" s="135"/>
      <c r="AH152" s="135"/>
      <c r="AI152" s="135"/>
      <c r="AJ152" s="135"/>
      <c r="AK152" s="135"/>
      <c r="AL152" s="135"/>
      <c r="AM152" s="135"/>
      <c r="AN152" s="135"/>
      <c r="AO152" s="135"/>
      <c r="AP152" s="135"/>
      <c r="AQ152" s="135"/>
      <c r="AR152" s="135"/>
      <c r="AS152" s="135"/>
      <c r="AT152" s="135"/>
      <c r="AU152" s="135"/>
      <c r="AV152" s="135"/>
      <c r="AW152" s="135"/>
      <c r="AX152" s="135"/>
      <c r="AY152" s="135"/>
      <c r="AZ152" s="135"/>
      <c r="BA152" s="135"/>
      <c r="BB152" s="135"/>
      <c r="BC152" s="135"/>
      <c r="BD152" s="135"/>
      <c r="BE152" s="135"/>
      <c r="BF152" s="135"/>
      <c r="BG152" s="135"/>
      <c r="BH152" s="135"/>
      <c r="BI152" s="135"/>
      <c r="BJ152" s="135"/>
      <c r="BK152" s="135"/>
      <c r="BL152" s="135"/>
      <c r="BM152" s="135"/>
      <c r="BN152" s="135"/>
      <c r="BO152" s="135"/>
      <c r="BP152" s="135"/>
      <c r="BQ152" s="135"/>
      <c r="BR152" s="135"/>
      <c r="BS152" s="135"/>
      <c r="BT152" s="135"/>
      <c r="BU152" s="135"/>
      <c r="BV152" s="135"/>
      <c r="BW152" s="135"/>
      <c r="BX152" s="135"/>
      <c r="BY152" s="135"/>
      <c r="BZ152" s="135"/>
      <c r="CA152" s="135"/>
      <c r="CB152" s="135"/>
      <c r="CC152" s="135"/>
      <c r="CD152" s="135"/>
      <c r="CE152" s="135"/>
      <c r="CF152" s="135"/>
      <c r="CG152" s="135"/>
      <c r="CH152" s="135"/>
      <c r="CI152" s="135"/>
      <c r="CJ152" s="135"/>
      <c r="CK152" s="135"/>
      <c r="CL152" s="135"/>
      <c r="CM152" s="135"/>
      <c r="CN152" s="135"/>
      <c r="CO152" s="135"/>
      <c r="CP152" s="135"/>
      <c r="CQ152" s="135"/>
      <c r="CR152" s="135"/>
      <c r="CS152" s="135"/>
      <c r="CT152" s="135"/>
      <c r="CU152" s="135"/>
      <c r="CV152" s="135"/>
      <c r="CW152" s="135"/>
      <c r="CX152" s="136"/>
    </row>
    <row r="153" spans="2:102">
      <c r="B153" s="133"/>
      <c r="C153" s="135"/>
      <c r="D153" s="135"/>
      <c r="E153" s="135"/>
      <c r="F153" s="135"/>
      <c r="H153" s="135" t="s">
        <v>137</v>
      </c>
      <c r="I153" s="135"/>
      <c r="J153" s="135"/>
      <c r="K153" s="135"/>
      <c r="L153" s="135"/>
      <c r="M153" s="135"/>
      <c r="N153" s="135" t="s">
        <v>138</v>
      </c>
      <c r="O153" s="135"/>
      <c r="P153" s="135"/>
      <c r="Q153" s="135"/>
      <c r="R153" s="135"/>
      <c r="S153" s="135"/>
      <c r="T153" s="135"/>
      <c r="U153" s="135"/>
      <c r="V153" s="135"/>
      <c r="W153" s="135"/>
      <c r="X153" s="135"/>
      <c r="Y153" s="135"/>
      <c r="Z153" s="135"/>
      <c r="AA153" s="135"/>
      <c r="AB153" s="135"/>
      <c r="AC153" s="135"/>
      <c r="AD153" s="135"/>
      <c r="AE153" s="135"/>
      <c r="AF153" s="135"/>
      <c r="AG153" s="135"/>
      <c r="AH153" s="135"/>
      <c r="AI153" s="135"/>
      <c r="AJ153" s="135"/>
      <c r="AK153" s="135"/>
      <c r="AL153" s="135"/>
      <c r="AM153" s="135"/>
      <c r="AN153" s="135"/>
      <c r="AO153" s="135"/>
      <c r="AP153" s="135"/>
      <c r="AQ153" s="135"/>
      <c r="AR153" s="135"/>
      <c r="AS153" s="135"/>
      <c r="AT153" s="135"/>
      <c r="AU153" s="135"/>
      <c r="AV153" s="135"/>
      <c r="AW153" s="135"/>
      <c r="AX153" s="135"/>
      <c r="AY153" s="135"/>
      <c r="AZ153" s="135"/>
      <c r="BA153" s="135"/>
      <c r="BB153" s="135"/>
      <c r="BC153" s="135"/>
      <c r="BD153" s="135"/>
      <c r="BE153" s="135"/>
      <c r="BF153" s="135"/>
      <c r="BG153" s="135"/>
      <c r="BH153" s="135"/>
      <c r="BI153" s="135"/>
      <c r="BJ153" s="135"/>
      <c r="BK153" s="135"/>
      <c r="BL153" s="135"/>
      <c r="BM153" s="135"/>
      <c r="BN153" s="135"/>
      <c r="BO153" s="135"/>
      <c r="BP153" s="135"/>
      <c r="BQ153" s="135"/>
      <c r="BR153" s="135"/>
      <c r="BS153" s="135"/>
      <c r="BT153" s="135"/>
      <c r="BU153" s="135"/>
      <c r="BV153" s="135"/>
      <c r="BW153" s="135"/>
      <c r="BX153" s="135"/>
      <c r="BY153" s="135"/>
      <c r="BZ153" s="135"/>
      <c r="CA153" s="135"/>
      <c r="CB153" s="135"/>
      <c r="CC153" s="135"/>
      <c r="CD153" s="135"/>
      <c r="CE153" s="135"/>
      <c r="CF153" s="135"/>
      <c r="CG153" s="135"/>
      <c r="CH153" s="135"/>
      <c r="CI153" s="135"/>
      <c r="CJ153" s="135"/>
      <c r="CK153" s="135"/>
      <c r="CL153" s="135"/>
      <c r="CM153" s="135"/>
      <c r="CN153" s="135"/>
      <c r="CO153" s="135"/>
      <c r="CP153" s="135"/>
      <c r="CQ153" s="135"/>
      <c r="CR153" s="135"/>
      <c r="CS153" s="135"/>
      <c r="CT153" s="135"/>
      <c r="CU153" s="135"/>
      <c r="CV153" s="135"/>
      <c r="CW153" s="135"/>
      <c r="CX153" s="136"/>
    </row>
    <row r="154" spans="2:102">
      <c r="B154" s="133"/>
      <c r="C154" s="135"/>
      <c r="D154" s="135"/>
      <c r="E154" s="135"/>
      <c r="F154" s="135"/>
      <c r="H154" s="135"/>
      <c r="I154" s="135"/>
      <c r="J154" s="135"/>
      <c r="K154" s="135"/>
      <c r="L154" s="135"/>
      <c r="M154" s="135"/>
      <c r="N154" s="135"/>
      <c r="O154" s="135"/>
      <c r="P154" s="135"/>
      <c r="Q154" s="135"/>
      <c r="R154" s="135"/>
      <c r="S154" s="135"/>
      <c r="T154" s="135"/>
      <c r="U154" s="135"/>
      <c r="V154" s="135"/>
      <c r="W154" s="135"/>
      <c r="X154" s="135"/>
      <c r="Y154" s="135"/>
      <c r="Z154" s="135"/>
      <c r="AA154" s="135"/>
      <c r="AB154" s="135"/>
      <c r="AC154" s="135"/>
      <c r="AD154" s="135"/>
      <c r="AE154" s="135"/>
      <c r="AF154" s="135"/>
      <c r="AG154" s="135"/>
      <c r="AH154" s="135"/>
      <c r="AI154" s="135"/>
      <c r="AJ154" s="135"/>
      <c r="AK154" s="135"/>
      <c r="AL154" s="135"/>
      <c r="AM154" s="135"/>
      <c r="AN154" s="135"/>
      <c r="AO154" s="135"/>
      <c r="AP154" s="135"/>
      <c r="AQ154" s="135"/>
      <c r="AR154" s="135"/>
      <c r="AS154" s="135"/>
      <c r="AT154" s="135"/>
      <c r="AU154" s="135"/>
      <c r="AV154" s="135"/>
      <c r="AW154" s="135"/>
      <c r="AX154" s="135"/>
      <c r="AY154" s="135"/>
      <c r="AZ154" s="135"/>
      <c r="BA154" s="135"/>
      <c r="BB154" s="135"/>
      <c r="BC154" s="135"/>
      <c r="BD154" s="135"/>
      <c r="BE154" s="135"/>
      <c r="BF154" s="135"/>
      <c r="BG154" s="135"/>
      <c r="BH154" s="135"/>
      <c r="BI154" s="135"/>
      <c r="BJ154" s="135"/>
      <c r="BK154" s="135"/>
      <c r="BL154" s="135"/>
      <c r="BM154" s="135"/>
      <c r="BN154" s="135"/>
      <c r="BO154" s="135"/>
      <c r="BP154" s="135"/>
      <c r="BQ154" s="135"/>
      <c r="BR154" s="135"/>
      <c r="BS154" s="135"/>
      <c r="BT154" s="135"/>
      <c r="BU154" s="135"/>
      <c r="BV154" s="135"/>
      <c r="BW154" s="135"/>
      <c r="BX154" s="135"/>
      <c r="BY154" s="135"/>
      <c r="BZ154" s="135"/>
      <c r="CA154" s="135"/>
      <c r="CB154" s="135"/>
      <c r="CC154" s="135"/>
      <c r="CD154" s="135"/>
      <c r="CE154" s="135"/>
      <c r="CF154" s="135"/>
      <c r="CG154" s="135"/>
      <c r="CH154" s="135"/>
      <c r="CI154" s="135"/>
      <c r="CJ154" s="135"/>
      <c r="CK154" s="135"/>
      <c r="CL154" s="135"/>
      <c r="CM154" s="135"/>
      <c r="CN154" s="135"/>
      <c r="CO154" s="135"/>
      <c r="CP154" s="135"/>
      <c r="CQ154" s="135"/>
      <c r="CR154" s="135"/>
      <c r="CS154" s="135"/>
      <c r="CT154" s="135"/>
      <c r="CU154" s="135"/>
      <c r="CV154" s="135"/>
      <c r="CW154" s="135"/>
      <c r="CX154" s="136"/>
    </row>
    <row r="155" spans="2:102">
      <c r="B155" s="133"/>
      <c r="C155" s="135"/>
      <c r="D155" s="135"/>
      <c r="E155" s="135"/>
      <c r="F155" s="135"/>
      <c r="H155" s="135" t="s">
        <v>139</v>
      </c>
      <c r="I155" s="135"/>
      <c r="J155" s="135"/>
      <c r="K155" s="135"/>
      <c r="L155" s="135"/>
      <c r="M155" s="135"/>
      <c r="N155" s="135" t="s">
        <v>140</v>
      </c>
      <c r="O155" s="135"/>
      <c r="P155" s="135"/>
      <c r="Q155" s="135"/>
      <c r="R155" s="135"/>
      <c r="S155" s="135"/>
      <c r="T155" s="135"/>
      <c r="U155" s="135"/>
      <c r="AA155" s="135"/>
      <c r="AB155" s="135"/>
      <c r="AC155" s="135"/>
      <c r="AD155" s="135"/>
      <c r="AE155" s="135"/>
      <c r="AF155" s="135"/>
      <c r="AG155" s="135"/>
      <c r="AH155" s="135"/>
      <c r="AI155" s="135"/>
      <c r="AJ155" s="135"/>
      <c r="AK155" s="135"/>
      <c r="AL155" s="135"/>
      <c r="AM155" s="135"/>
      <c r="AN155" s="135"/>
      <c r="AO155" s="135"/>
      <c r="AP155" s="135"/>
      <c r="AQ155" s="135"/>
      <c r="AR155" s="135"/>
      <c r="AS155" s="135"/>
      <c r="AT155" s="135"/>
      <c r="AU155" s="135"/>
      <c r="AV155" s="135"/>
      <c r="AW155" s="135"/>
      <c r="AX155" s="135"/>
      <c r="AY155" s="135"/>
      <c r="AZ155" s="135"/>
      <c r="BA155" s="135"/>
      <c r="BB155" s="135"/>
      <c r="BC155" s="135"/>
      <c r="BD155" s="135"/>
      <c r="BE155" s="135"/>
      <c r="BF155" s="135"/>
      <c r="BG155" s="135"/>
      <c r="BH155" s="135"/>
      <c r="BI155" s="135"/>
      <c r="BJ155" s="135"/>
      <c r="BK155" s="135"/>
      <c r="BL155" s="135"/>
      <c r="BM155" s="135"/>
      <c r="BN155" s="135"/>
      <c r="BO155" s="135"/>
      <c r="BP155" s="135"/>
      <c r="BQ155" s="135"/>
      <c r="BR155" s="135"/>
      <c r="BS155" s="135"/>
      <c r="BT155" s="135"/>
      <c r="BU155" s="135"/>
      <c r="BV155" s="135"/>
      <c r="BW155" s="135"/>
      <c r="BX155" s="135"/>
      <c r="BY155" s="135"/>
      <c r="BZ155" s="135"/>
      <c r="CA155" s="135"/>
      <c r="CB155" s="135"/>
      <c r="CC155" s="135"/>
      <c r="CD155" s="135"/>
      <c r="CE155" s="135"/>
      <c r="CF155" s="135"/>
      <c r="CG155" s="135"/>
      <c r="CH155" s="135"/>
      <c r="CI155" s="135"/>
      <c r="CJ155" s="135"/>
      <c r="CK155" s="135"/>
      <c r="CL155" s="135"/>
      <c r="CM155" s="135"/>
      <c r="CN155" s="135"/>
      <c r="CO155" s="135"/>
      <c r="CP155" s="135"/>
      <c r="CQ155" s="135"/>
      <c r="CR155" s="135"/>
      <c r="CS155" s="135"/>
      <c r="CT155" s="135"/>
      <c r="CU155" s="135"/>
      <c r="CV155" s="135"/>
      <c r="CW155" s="135"/>
      <c r="CX155" s="136"/>
    </row>
    <row r="156" spans="2:102">
      <c r="B156" s="128"/>
      <c r="CX156" s="129"/>
    </row>
    <row r="157" spans="2:102">
      <c r="B157" s="128"/>
      <c r="CX157" s="129"/>
    </row>
    <row r="158" spans="2:102">
      <c r="B158" s="128"/>
      <c r="CX158" s="129"/>
    </row>
    <row r="159" spans="2:102">
      <c r="B159" s="128"/>
      <c r="CX159" s="129"/>
    </row>
    <row r="160" spans="2:102">
      <c r="B160" s="128"/>
      <c r="CX160" s="129"/>
    </row>
    <row r="161" spans="2:102">
      <c r="B161" s="128"/>
      <c r="CX161" s="129"/>
    </row>
    <row r="162" spans="2:102">
      <c r="B162" s="128"/>
      <c r="CX162" s="129"/>
    </row>
    <row r="163" spans="2:102">
      <c r="B163" s="128"/>
      <c r="CX163" s="129"/>
    </row>
    <row r="164" spans="2:102">
      <c r="B164" s="128"/>
      <c r="CX164" s="129"/>
    </row>
    <row r="165" spans="2:102">
      <c r="B165" s="128"/>
      <c r="CX165" s="129"/>
    </row>
    <row r="166" spans="2:102">
      <c r="B166" s="128"/>
      <c r="CX166" s="129"/>
    </row>
    <row r="167" spans="2:102">
      <c r="B167" s="128"/>
      <c r="CX167" s="129"/>
    </row>
    <row r="168" spans="2:102">
      <c r="B168" s="128"/>
      <c r="CX168" s="129"/>
    </row>
    <row r="169" spans="2:102">
      <c r="B169" s="128"/>
      <c r="CX169" s="129"/>
    </row>
    <row r="170" spans="2:102">
      <c r="B170" s="128"/>
      <c r="CX170" s="129"/>
    </row>
    <row r="171" spans="2:102">
      <c r="B171" s="139"/>
      <c r="C171" s="140"/>
      <c r="D171" s="140"/>
      <c r="E171" s="140"/>
      <c r="F171" s="140"/>
      <c r="G171" s="140"/>
      <c r="H171" s="140"/>
      <c r="I171" s="140"/>
      <c r="J171" s="140"/>
      <c r="K171" s="140"/>
      <c r="L171" s="140"/>
      <c r="M171" s="140"/>
      <c r="N171" s="140"/>
      <c r="O171" s="140"/>
      <c r="P171" s="140"/>
      <c r="Q171" s="140"/>
      <c r="R171" s="140"/>
      <c r="S171" s="140"/>
      <c r="T171" s="140"/>
      <c r="U171" s="140"/>
      <c r="V171" s="140"/>
      <c r="W171" s="140"/>
      <c r="X171" s="140"/>
      <c r="Y171" s="140"/>
      <c r="Z171" s="140"/>
      <c r="AA171" s="140"/>
      <c r="AB171" s="140"/>
      <c r="AC171" s="140"/>
      <c r="AD171" s="140"/>
      <c r="AE171" s="140"/>
      <c r="AF171" s="140"/>
      <c r="AG171" s="140"/>
      <c r="AH171" s="140"/>
      <c r="AI171" s="140"/>
      <c r="AJ171" s="140"/>
      <c r="AK171" s="140"/>
      <c r="AL171" s="140"/>
      <c r="AM171" s="140"/>
      <c r="AN171" s="140"/>
      <c r="AO171" s="140"/>
      <c r="AP171" s="140"/>
      <c r="AQ171" s="140"/>
      <c r="AR171" s="140"/>
      <c r="AS171" s="140"/>
      <c r="AT171" s="140"/>
      <c r="AU171" s="140"/>
      <c r="AV171" s="140"/>
      <c r="AW171" s="140"/>
      <c r="AX171" s="140"/>
      <c r="AY171" s="140"/>
      <c r="AZ171" s="140"/>
      <c r="BA171" s="140"/>
      <c r="BB171" s="140"/>
      <c r="BC171" s="140"/>
      <c r="BD171" s="140"/>
      <c r="BE171" s="140"/>
      <c r="BF171" s="140"/>
      <c r="BG171" s="140"/>
      <c r="BH171" s="140"/>
      <c r="BI171" s="140"/>
      <c r="BJ171" s="140"/>
      <c r="BK171" s="140"/>
      <c r="BL171" s="140"/>
      <c r="BM171" s="140"/>
      <c r="BN171" s="140"/>
      <c r="BO171" s="140"/>
      <c r="BP171" s="140"/>
      <c r="BQ171" s="140"/>
      <c r="BR171" s="140"/>
      <c r="BS171" s="140"/>
      <c r="BT171" s="140"/>
      <c r="BU171" s="140"/>
      <c r="BV171" s="140"/>
      <c r="BW171" s="140"/>
      <c r="BX171" s="140"/>
      <c r="BY171" s="140"/>
      <c r="BZ171" s="140"/>
      <c r="CA171" s="140"/>
      <c r="CB171" s="140"/>
      <c r="CC171" s="140"/>
      <c r="CD171" s="140"/>
      <c r="CE171" s="140"/>
      <c r="CF171" s="140"/>
      <c r="CG171" s="140"/>
      <c r="CH171" s="140"/>
      <c r="CI171" s="140"/>
      <c r="CJ171" s="140"/>
      <c r="CK171" s="140"/>
      <c r="CL171" s="140"/>
      <c r="CM171" s="140"/>
      <c r="CN171" s="140"/>
      <c r="CO171" s="140"/>
      <c r="CP171" s="140"/>
      <c r="CQ171" s="140"/>
      <c r="CR171" s="140"/>
      <c r="CS171" s="140"/>
      <c r="CT171" s="140"/>
      <c r="CU171" s="140"/>
      <c r="CV171" s="140"/>
      <c r="CW171" s="140"/>
      <c r="CX171" s="141"/>
    </row>
    <row r="172" spans="2:102">
      <c r="B172" s="128"/>
      <c r="CX172" s="129"/>
    </row>
    <row r="173" spans="2:102">
      <c r="B173" s="133"/>
      <c r="C173" s="135"/>
      <c r="D173" s="135"/>
      <c r="O173" s="135"/>
      <c r="P173" s="135"/>
      <c r="Q173" s="135"/>
      <c r="R173" s="135"/>
      <c r="S173" s="135"/>
      <c r="T173" s="135"/>
      <c r="U173" s="135"/>
      <c r="V173" s="135"/>
      <c r="W173" s="135"/>
      <c r="X173" s="135"/>
      <c r="Y173" s="135"/>
      <c r="Z173" s="135"/>
      <c r="AA173" s="135"/>
      <c r="AB173" s="135"/>
      <c r="AC173" s="135"/>
      <c r="AD173" s="135"/>
      <c r="AE173" s="135"/>
      <c r="AF173" s="135"/>
      <c r="AG173" s="135"/>
      <c r="AH173" s="135"/>
      <c r="AI173" s="135"/>
      <c r="AJ173" s="135"/>
      <c r="AK173" s="135"/>
      <c r="AL173" s="135"/>
      <c r="AM173" s="135"/>
      <c r="AN173" s="135"/>
      <c r="AO173" s="135"/>
      <c r="AP173" s="135"/>
      <c r="AQ173" s="135"/>
      <c r="AR173" s="135"/>
      <c r="AS173" s="135"/>
      <c r="AT173" s="135"/>
      <c r="AU173" s="135"/>
      <c r="AV173" s="135"/>
      <c r="AW173" s="135"/>
      <c r="AX173" s="135"/>
      <c r="AY173" s="135"/>
      <c r="AZ173" s="135"/>
      <c r="BA173" s="135"/>
      <c r="BB173" s="135"/>
      <c r="BC173" s="135"/>
      <c r="BD173" s="135"/>
      <c r="BE173" s="135"/>
      <c r="BF173" s="135"/>
      <c r="BG173" s="135"/>
      <c r="BH173" s="135"/>
      <c r="BI173" s="135"/>
      <c r="BJ173" s="135"/>
      <c r="BK173" s="135"/>
      <c r="BL173" s="135"/>
      <c r="BM173" s="135"/>
      <c r="BN173" s="135"/>
      <c r="BO173" s="135"/>
      <c r="BP173" s="135"/>
      <c r="BQ173" s="135"/>
      <c r="BR173" s="135"/>
      <c r="BS173" s="135"/>
      <c r="BT173" s="135"/>
      <c r="BU173" s="135"/>
      <c r="BV173" s="135"/>
      <c r="BW173" s="135"/>
      <c r="BX173" s="135"/>
      <c r="BY173" s="135"/>
      <c r="BZ173" s="135"/>
      <c r="CA173" s="135"/>
      <c r="CB173" s="135"/>
      <c r="CC173" s="135"/>
      <c r="CD173" s="135"/>
      <c r="CE173" s="135"/>
      <c r="CF173" s="135"/>
      <c r="CG173" s="135"/>
      <c r="CH173" s="135"/>
      <c r="CI173" s="135"/>
      <c r="CJ173" s="135"/>
      <c r="CK173" s="135"/>
      <c r="CL173" s="135"/>
      <c r="CM173" s="135"/>
      <c r="CN173" s="135"/>
      <c r="CO173" s="135"/>
      <c r="CP173" s="135"/>
      <c r="CQ173" s="135"/>
      <c r="CR173" s="135"/>
      <c r="CS173" s="135"/>
      <c r="CT173" s="135"/>
      <c r="CU173" s="135"/>
      <c r="CV173" s="135"/>
      <c r="CW173" s="135"/>
      <c r="CX173" s="136"/>
    </row>
    <row r="174" spans="2:102">
      <c r="B174" s="133"/>
      <c r="C174" s="135"/>
      <c r="D174" s="135"/>
      <c r="E174" s="137" t="s">
        <v>141</v>
      </c>
      <c r="F174" s="138"/>
      <c r="G174" s="138"/>
      <c r="H174" s="138" t="s">
        <v>142</v>
      </c>
      <c r="I174" s="138"/>
      <c r="J174" s="138"/>
      <c r="K174" s="138"/>
      <c r="L174" s="138"/>
      <c r="M174" s="138"/>
      <c r="N174" s="135"/>
      <c r="O174" s="135"/>
      <c r="P174" s="135"/>
      <c r="Q174" s="135"/>
      <c r="R174" s="135"/>
      <c r="S174" s="135"/>
      <c r="T174" s="135"/>
      <c r="U174" s="135"/>
      <c r="V174" s="135"/>
      <c r="W174" s="135"/>
      <c r="X174" s="135"/>
      <c r="Y174" s="135"/>
      <c r="Z174" s="135"/>
      <c r="AA174" s="135"/>
      <c r="AB174" s="135"/>
      <c r="AC174" s="135"/>
      <c r="AD174" s="135"/>
      <c r="AE174" s="135"/>
      <c r="AF174" s="135"/>
      <c r="AG174" s="135"/>
      <c r="AH174" s="135"/>
      <c r="AI174" s="135"/>
      <c r="AJ174" s="135"/>
      <c r="AK174" s="135"/>
      <c r="AL174" s="135"/>
      <c r="AM174" s="135"/>
      <c r="AN174" s="135"/>
      <c r="AO174" s="135"/>
      <c r="AP174" s="135"/>
      <c r="AQ174" s="135"/>
      <c r="AR174" s="135"/>
      <c r="AS174" s="135"/>
      <c r="AT174" s="135"/>
      <c r="AU174" s="135"/>
      <c r="AV174" s="135"/>
      <c r="AW174" s="135"/>
      <c r="AX174" s="135"/>
      <c r="AY174" s="135"/>
      <c r="AZ174" s="135"/>
      <c r="BA174" s="135"/>
      <c r="BB174" s="135"/>
      <c r="BC174" s="135"/>
      <c r="BD174" s="135"/>
      <c r="BE174" s="135"/>
      <c r="BF174" s="135"/>
      <c r="BG174" s="135"/>
      <c r="BH174" s="135"/>
      <c r="BI174" s="135"/>
      <c r="BJ174" s="135"/>
      <c r="BK174" s="135"/>
      <c r="BL174" s="135"/>
      <c r="BM174" s="135"/>
      <c r="BN174" s="135"/>
      <c r="BO174" s="135"/>
      <c r="BP174" s="135"/>
      <c r="BQ174" s="135"/>
      <c r="BR174" s="135"/>
      <c r="BS174" s="135"/>
      <c r="BT174" s="135"/>
      <c r="BU174" s="135"/>
      <c r="BV174" s="135"/>
      <c r="BW174" s="135"/>
      <c r="BX174" s="135"/>
      <c r="BY174" s="135"/>
      <c r="BZ174" s="135"/>
      <c r="CA174" s="135"/>
      <c r="CB174" s="135"/>
      <c r="CC174" s="135"/>
      <c r="CD174" s="135"/>
      <c r="CE174" s="135"/>
      <c r="CF174" s="135"/>
      <c r="CG174" s="135"/>
      <c r="CH174" s="135"/>
      <c r="CI174" s="135"/>
      <c r="CJ174" s="135"/>
      <c r="CK174" s="135"/>
      <c r="CL174" s="135"/>
      <c r="CM174" s="135"/>
      <c r="CN174" s="135"/>
      <c r="CO174" s="135"/>
      <c r="CP174" s="135"/>
      <c r="CQ174" s="135"/>
      <c r="CR174" s="135"/>
      <c r="CS174" s="135"/>
      <c r="CT174" s="135"/>
      <c r="CU174" s="135"/>
      <c r="CV174" s="135"/>
      <c r="CW174" s="135"/>
      <c r="CX174" s="136"/>
    </row>
    <row r="175" spans="2:102">
      <c r="B175" s="133"/>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c r="AB175" s="135"/>
      <c r="AC175" s="135"/>
      <c r="AD175" s="135"/>
      <c r="AE175" s="135"/>
      <c r="AF175" s="135"/>
      <c r="AG175" s="135"/>
      <c r="AH175" s="135"/>
      <c r="AI175" s="135"/>
      <c r="AJ175" s="135"/>
      <c r="AK175" s="135"/>
      <c r="AL175" s="135"/>
      <c r="AM175" s="135"/>
      <c r="AN175" s="135"/>
      <c r="AO175" s="135"/>
      <c r="AP175" s="135"/>
      <c r="AQ175" s="135"/>
      <c r="AR175" s="135"/>
      <c r="AS175" s="135"/>
      <c r="AT175" s="135"/>
      <c r="AU175" s="135"/>
      <c r="AV175" s="135"/>
      <c r="AW175" s="135"/>
      <c r="AX175" s="135"/>
      <c r="AY175" s="135"/>
      <c r="AZ175" s="135"/>
      <c r="BA175" s="135"/>
      <c r="BB175" s="135"/>
      <c r="BC175" s="135"/>
      <c r="BD175" s="135"/>
      <c r="BE175" s="135"/>
      <c r="BF175" s="135"/>
      <c r="BG175" s="135"/>
      <c r="BH175" s="135"/>
      <c r="BI175" s="135"/>
      <c r="BJ175" s="135"/>
      <c r="BK175" s="135"/>
      <c r="BL175" s="135"/>
      <c r="BM175" s="135"/>
      <c r="BN175" s="135"/>
      <c r="BO175" s="135"/>
      <c r="BP175" s="135"/>
      <c r="BQ175" s="135"/>
      <c r="BR175" s="135"/>
      <c r="BS175" s="135"/>
      <c r="BT175" s="135"/>
      <c r="BU175" s="135"/>
      <c r="BV175" s="135"/>
      <c r="BW175" s="135"/>
      <c r="BX175" s="135"/>
      <c r="BY175" s="135"/>
      <c r="BZ175" s="135"/>
      <c r="CA175" s="135"/>
      <c r="CB175" s="135"/>
      <c r="CC175" s="135"/>
      <c r="CD175" s="135"/>
      <c r="CE175" s="135"/>
      <c r="CF175" s="135"/>
      <c r="CG175" s="135"/>
      <c r="CH175" s="135"/>
      <c r="CI175" s="135"/>
      <c r="CJ175" s="135"/>
      <c r="CK175" s="135"/>
      <c r="CL175" s="135"/>
      <c r="CM175" s="135"/>
      <c r="CN175" s="135"/>
      <c r="CO175" s="135"/>
      <c r="CP175" s="135"/>
      <c r="CQ175" s="135"/>
      <c r="CR175" s="135"/>
      <c r="CS175" s="135"/>
      <c r="CT175" s="135"/>
      <c r="CU175" s="135"/>
      <c r="CV175" s="135"/>
      <c r="CW175" s="135"/>
      <c r="CX175" s="136"/>
    </row>
    <row r="176" spans="2:102">
      <c r="B176" s="133"/>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c r="AB176" s="135"/>
      <c r="AC176" s="135"/>
      <c r="AD176" s="135"/>
      <c r="AE176" s="135"/>
      <c r="AF176" s="135"/>
      <c r="AG176" s="135"/>
      <c r="AH176" s="135"/>
      <c r="AI176" s="135"/>
      <c r="AJ176" s="135"/>
      <c r="AK176" s="135"/>
      <c r="AL176" s="135"/>
      <c r="AM176" s="135"/>
      <c r="AN176" s="135"/>
      <c r="AO176" s="135"/>
      <c r="AP176" s="135"/>
      <c r="AQ176" s="135"/>
      <c r="AR176" s="135"/>
      <c r="AS176" s="135"/>
      <c r="AT176" s="135"/>
      <c r="AU176" s="135"/>
      <c r="AV176" s="135"/>
      <c r="AW176" s="135"/>
      <c r="AX176" s="135"/>
      <c r="AY176" s="135"/>
      <c r="AZ176" s="135"/>
      <c r="BA176" s="135"/>
      <c r="BB176" s="135"/>
      <c r="BC176" s="135"/>
      <c r="BD176" s="135"/>
      <c r="BE176" s="135"/>
      <c r="BF176" s="135"/>
      <c r="BG176" s="135"/>
      <c r="BH176" s="135"/>
      <c r="BI176" s="135"/>
      <c r="BJ176" s="135"/>
      <c r="BK176" s="135"/>
      <c r="BL176" s="135"/>
      <c r="BM176" s="135"/>
      <c r="BN176" s="135"/>
      <c r="BO176" s="135"/>
      <c r="BP176" s="135"/>
      <c r="BQ176" s="135"/>
      <c r="BR176" s="135"/>
      <c r="BS176" s="135"/>
      <c r="BT176" s="135"/>
      <c r="BU176" s="135"/>
      <c r="BV176" s="135"/>
      <c r="BW176" s="135"/>
      <c r="BX176" s="135"/>
      <c r="BY176" s="135"/>
      <c r="BZ176" s="135"/>
      <c r="CA176" s="135"/>
      <c r="CB176" s="135"/>
      <c r="CC176" s="135"/>
      <c r="CD176" s="135"/>
      <c r="CE176" s="135"/>
      <c r="CF176" s="135"/>
      <c r="CG176" s="135"/>
      <c r="CH176" s="135"/>
      <c r="CI176" s="135"/>
      <c r="CJ176" s="135"/>
      <c r="CK176" s="135"/>
      <c r="CL176" s="135"/>
      <c r="CM176" s="135"/>
      <c r="CN176" s="135"/>
      <c r="CO176" s="135"/>
      <c r="CP176" s="135"/>
      <c r="CQ176" s="135"/>
      <c r="CR176" s="135"/>
      <c r="CS176" s="135"/>
      <c r="CT176" s="135"/>
      <c r="CU176" s="135"/>
      <c r="CV176" s="135"/>
      <c r="CW176" s="135"/>
      <c r="CX176" s="136"/>
    </row>
    <row r="177" spans="2:102">
      <c r="B177" s="133"/>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c r="AB177" s="135"/>
      <c r="AC177" s="135"/>
      <c r="AD177" s="135"/>
      <c r="AE177" s="135"/>
      <c r="AF177" s="135"/>
      <c r="AG177" s="135"/>
      <c r="AH177" s="135"/>
      <c r="AI177" s="135"/>
      <c r="AJ177" s="135"/>
      <c r="AK177" s="135"/>
      <c r="AL177" s="135"/>
      <c r="AM177" s="135"/>
      <c r="AN177" s="135"/>
      <c r="AO177" s="135"/>
      <c r="AP177" s="135"/>
      <c r="AQ177" s="135"/>
      <c r="AR177" s="135"/>
      <c r="AS177" s="135"/>
      <c r="AT177" s="135"/>
      <c r="AU177" s="135"/>
      <c r="AV177" s="135"/>
      <c r="AW177" s="135"/>
      <c r="AX177" s="135"/>
      <c r="AY177" s="135"/>
      <c r="AZ177" s="135"/>
      <c r="BA177" s="135"/>
      <c r="BB177" s="135"/>
      <c r="BC177" s="135"/>
      <c r="BD177" s="135"/>
      <c r="BE177" s="135"/>
      <c r="BF177" s="135"/>
      <c r="BG177" s="135"/>
      <c r="BH177" s="135"/>
      <c r="BI177" s="135"/>
      <c r="BJ177" s="135"/>
      <c r="BK177" s="135"/>
      <c r="BL177" s="135"/>
      <c r="BM177" s="135"/>
      <c r="BN177" s="135"/>
      <c r="BO177" s="135"/>
      <c r="BP177" s="135"/>
      <c r="BQ177" s="135"/>
      <c r="BR177" s="135"/>
      <c r="BS177" s="135"/>
      <c r="BT177" s="135"/>
      <c r="BU177" s="135"/>
      <c r="BV177" s="135"/>
      <c r="BW177" s="135"/>
      <c r="BX177" s="135"/>
      <c r="BY177" s="135"/>
      <c r="BZ177" s="135"/>
      <c r="CA177" s="135"/>
      <c r="CB177" s="135"/>
      <c r="CC177" s="135"/>
      <c r="CD177" s="135"/>
      <c r="CE177" s="135"/>
      <c r="CF177" s="135"/>
      <c r="CG177" s="135"/>
      <c r="CH177" s="135"/>
      <c r="CI177" s="135"/>
      <c r="CJ177" s="135"/>
      <c r="CK177" s="135"/>
      <c r="CL177" s="135"/>
      <c r="CM177" s="135"/>
      <c r="CN177" s="135"/>
      <c r="CO177" s="135"/>
      <c r="CP177" s="135"/>
      <c r="CQ177" s="135"/>
      <c r="CR177" s="135"/>
      <c r="CS177" s="135"/>
      <c r="CT177" s="135"/>
      <c r="CU177" s="135"/>
      <c r="CV177" s="135"/>
      <c r="CW177" s="135"/>
      <c r="CX177" s="136"/>
    </row>
    <row r="178" spans="2:102">
      <c r="B178" s="133"/>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c r="AB178" s="135"/>
      <c r="AC178" s="135"/>
      <c r="AD178" s="135"/>
      <c r="AE178" s="135"/>
      <c r="AF178" s="135"/>
      <c r="AG178" s="135"/>
      <c r="AH178" s="135"/>
      <c r="AI178" s="135"/>
      <c r="AJ178" s="135"/>
      <c r="AK178" s="135"/>
      <c r="AL178" s="135"/>
      <c r="AM178" s="135"/>
      <c r="AN178" s="135"/>
      <c r="AO178" s="135"/>
      <c r="AP178" s="135"/>
      <c r="AQ178" s="135"/>
      <c r="AR178" s="135"/>
      <c r="AS178" s="135"/>
      <c r="AT178" s="135"/>
      <c r="AU178" s="135"/>
      <c r="AV178" s="135"/>
      <c r="AW178" s="135"/>
      <c r="AX178" s="135"/>
      <c r="AY178" s="135"/>
      <c r="AZ178" s="135"/>
      <c r="BA178" s="135"/>
      <c r="BB178" s="135"/>
      <c r="BC178" s="135"/>
      <c r="BD178" s="135"/>
      <c r="BE178" s="135"/>
      <c r="BF178" s="135"/>
      <c r="BG178" s="135"/>
      <c r="BH178" s="135"/>
      <c r="BI178" s="135"/>
      <c r="BJ178" s="135"/>
      <c r="BK178" s="135"/>
      <c r="BL178" s="135"/>
      <c r="BM178" s="135"/>
      <c r="BN178" s="135"/>
      <c r="BO178" s="135"/>
      <c r="BP178" s="135"/>
      <c r="BQ178" s="135"/>
      <c r="BR178" s="135"/>
      <c r="BS178" s="135"/>
      <c r="BT178" s="135"/>
      <c r="BU178" s="135"/>
      <c r="BV178" s="135"/>
      <c r="BW178" s="135"/>
      <c r="BX178" s="135"/>
      <c r="BY178" s="135"/>
      <c r="BZ178" s="135"/>
      <c r="CA178" s="135"/>
      <c r="CB178" s="135"/>
      <c r="CC178" s="135"/>
      <c r="CD178" s="135"/>
      <c r="CE178" s="135"/>
      <c r="CF178" s="135"/>
      <c r="CG178" s="135"/>
      <c r="CH178" s="135"/>
      <c r="CI178" s="135"/>
      <c r="CJ178" s="135"/>
      <c r="CK178" s="135"/>
      <c r="CL178" s="135"/>
      <c r="CM178" s="135"/>
      <c r="CN178" s="135"/>
      <c r="CO178" s="135"/>
      <c r="CP178" s="135"/>
      <c r="CQ178" s="135"/>
      <c r="CR178" s="135"/>
      <c r="CS178" s="135"/>
      <c r="CT178" s="135"/>
      <c r="CU178" s="135"/>
      <c r="CV178" s="135"/>
      <c r="CW178" s="135"/>
      <c r="CX178" s="136"/>
    </row>
    <row r="179" spans="2:102">
      <c r="B179" s="133"/>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c r="AB179" s="135"/>
      <c r="AC179" s="135"/>
      <c r="AD179" s="135"/>
      <c r="AE179" s="135"/>
      <c r="AF179" s="135"/>
      <c r="AG179" s="135"/>
      <c r="AH179" s="135"/>
      <c r="AI179" s="135"/>
      <c r="AJ179" s="135"/>
      <c r="AK179" s="135"/>
      <c r="AL179" s="135"/>
      <c r="AM179" s="135"/>
      <c r="AN179" s="135"/>
      <c r="AO179" s="135"/>
      <c r="AP179" s="135"/>
      <c r="AQ179" s="135"/>
      <c r="AR179" s="135"/>
      <c r="AS179" s="135"/>
      <c r="AT179" s="135"/>
      <c r="AU179" s="135"/>
      <c r="AV179" s="135"/>
      <c r="AW179" s="135"/>
      <c r="AX179" s="135"/>
      <c r="AY179" s="135"/>
      <c r="AZ179" s="135"/>
      <c r="BA179" s="135"/>
      <c r="BB179" s="135"/>
      <c r="BC179" s="135"/>
      <c r="BD179" s="135"/>
      <c r="BE179" s="135"/>
      <c r="BF179" s="135"/>
      <c r="BG179" s="135"/>
      <c r="BH179" s="135"/>
      <c r="BI179" s="135"/>
      <c r="BJ179" s="135"/>
      <c r="BK179" s="135"/>
      <c r="BL179" s="135"/>
      <c r="BM179" s="135"/>
      <c r="BN179" s="135"/>
      <c r="BO179" s="135"/>
      <c r="BP179" s="135"/>
      <c r="BQ179" s="135"/>
      <c r="BR179" s="135"/>
      <c r="BS179" s="135"/>
      <c r="BT179" s="135"/>
      <c r="BU179" s="135"/>
      <c r="BV179" s="135"/>
      <c r="BW179" s="135"/>
      <c r="BX179" s="135"/>
      <c r="BY179" s="135"/>
      <c r="BZ179" s="135"/>
      <c r="CA179" s="135"/>
      <c r="CB179" s="135"/>
      <c r="CC179" s="135"/>
      <c r="CD179" s="135"/>
      <c r="CE179" s="135"/>
      <c r="CF179" s="135"/>
      <c r="CG179" s="135"/>
      <c r="CH179" s="135"/>
      <c r="CI179" s="135"/>
      <c r="CJ179" s="135"/>
      <c r="CK179" s="135"/>
      <c r="CL179" s="135"/>
      <c r="CM179" s="135"/>
      <c r="CN179" s="135"/>
      <c r="CO179" s="135"/>
      <c r="CP179" s="135"/>
      <c r="CQ179" s="135"/>
      <c r="CR179" s="135"/>
      <c r="CS179" s="135"/>
      <c r="CT179" s="135"/>
      <c r="CU179" s="135"/>
      <c r="CV179" s="135"/>
      <c r="CW179" s="135"/>
      <c r="CX179" s="136"/>
    </row>
    <row r="180" spans="2:102">
      <c r="B180" s="133"/>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c r="AB180" s="135"/>
      <c r="AC180" s="135"/>
      <c r="AD180" s="135"/>
      <c r="AE180" s="135"/>
      <c r="AF180" s="135"/>
      <c r="AG180" s="135"/>
      <c r="AH180" s="135"/>
      <c r="AI180" s="135"/>
      <c r="AJ180" s="135"/>
      <c r="AK180" s="135"/>
      <c r="AL180" s="135"/>
      <c r="AM180" s="135"/>
      <c r="AN180" s="135"/>
      <c r="AO180" s="135"/>
      <c r="AP180" s="135"/>
      <c r="AQ180" s="135"/>
      <c r="AR180" s="135"/>
      <c r="AS180" s="135"/>
      <c r="AT180" s="135"/>
      <c r="AU180" s="135"/>
      <c r="AV180" s="135"/>
      <c r="AW180" s="135"/>
      <c r="AX180" s="135"/>
      <c r="AY180" s="135"/>
      <c r="AZ180" s="135"/>
      <c r="BA180" s="135"/>
      <c r="BB180" s="135"/>
      <c r="BC180" s="135"/>
      <c r="BD180" s="135"/>
      <c r="BE180" s="135"/>
      <c r="BF180" s="135"/>
      <c r="BG180" s="135"/>
      <c r="BH180" s="135"/>
      <c r="BI180" s="135"/>
      <c r="BJ180" s="135"/>
      <c r="BK180" s="135"/>
      <c r="BL180" s="135"/>
      <c r="BM180" s="135"/>
      <c r="BN180" s="135"/>
      <c r="BO180" s="135"/>
      <c r="BP180" s="135"/>
      <c r="BQ180" s="135"/>
      <c r="BR180" s="135"/>
      <c r="BS180" s="135"/>
      <c r="BT180" s="135"/>
      <c r="BU180" s="135"/>
      <c r="BV180" s="135"/>
      <c r="BW180" s="135"/>
      <c r="BX180" s="135"/>
      <c r="BY180" s="135"/>
      <c r="BZ180" s="135"/>
      <c r="CA180" s="135"/>
      <c r="CB180" s="135"/>
      <c r="CC180" s="135"/>
      <c r="CD180" s="135"/>
      <c r="CE180" s="135"/>
      <c r="CF180" s="135"/>
      <c r="CG180" s="135"/>
      <c r="CH180" s="135"/>
      <c r="CI180" s="135"/>
      <c r="CJ180" s="135"/>
      <c r="CK180" s="135"/>
      <c r="CL180" s="135"/>
      <c r="CM180" s="135"/>
      <c r="CN180" s="135"/>
      <c r="CO180" s="135"/>
      <c r="CP180" s="135"/>
      <c r="CQ180" s="135"/>
      <c r="CR180" s="135"/>
      <c r="CS180" s="135"/>
      <c r="CT180" s="135"/>
      <c r="CU180" s="135"/>
      <c r="CV180" s="135"/>
      <c r="CW180" s="135"/>
      <c r="CX180" s="136"/>
    </row>
    <row r="181" spans="2:102">
      <c r="B181" s="133"/>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c r="AB181" s="135"/>
      <c r="AC181" s="135"/>
      <c r="AD181" s="135"/>
      <c r="AE181" s="135"/>
      <c r="AF181" s="135"/>
      <c r="AG181" s="135"/>
      <c r="AH181" s="135"/>
      <c r="AI181" s="135"/>
      <c r="AJ181" s="135"/>
      <c r="AK181" s="135"/>
      <c r="AL181" s="135"/>
      <c r="AM181" s="135"/>
      <c r="AN181" s="135"/>
      <c r="AO181" s="135"/>
      <c r="AP181" s="135"/>
      <c r="AQ181" s="135"/>
      <c r="AR181" s="135"/>
      <c r="AS181" s="135"/>
      <c r="AT181" s="135"/>
      <c r="AU181" s="135"/>
      <c r="AV181" s="135"/>
      <c r="AW181" s="135"/>
      <c r="AX181" s="135"/>
      <c r="AY181" s="135"/>
      <c r="AZ181" s="135"/>
      <c r="BA181" s="135"/>
      <c r="BB181" s="135"/>
      <c r="BC181" s="135"/>
      <c r="BD181" s="135"/>
      <c r="BE181" s="135"/>
      <c r="BF181" s="135"/>
      <c r="BG181" s="135"/>
      <c r="BH181" s="135"/>
      <c r="BI181" s="135"/>
      <c r="BJ181" s="135"/>
      <c r="BK181" s="135"/>
      <c r="BL181" s="135"/>
      <c r="BM181" s="135"/>
      <c r="BN181" s="135"/>
      <c r="BO181" s="135"/>
      <c r="BP181" s="135"/>
      <c r="BQ181" s="135"/>
      <c r="BR181" s="135"/>
      <c r="BS181" s="135"/>
      <c r="BT181" s="135"/>
      <c r="BU181" s="135"/>
      <c r="BV181" s="135"/>
      <c r="BW181" s="135"/>
      <c r="BX181" s="135"/>
      <c r="BY181" s="135"/>
      <c r="BZ181" s="135"/>
      <c r="CA181" s="135"/>
      <c r="CB181" s="135"/>
      <c r="CC181" s="135"/>
      <c r="CD181" s="135"/>
      <c r="CE181" s="135"/>
      <c r="CF181" s="135"/>
      <c r="CG181" s="135"/>
      <c r="CH181" s="135"/>
      <c r="CI181" s="135"/>
      <c r="CJ181" s="135"/>
      <c r="CK181" s="135"/>
      <c r="CL181" s="135"/>
      <c r="CM181" s="135"/>
      <c r="CN181" s="135"/>
      <c r="CO181" s="135"/>
      <c r="CP181" s="135"/>
      <c r="CQ181" s="135"/>
      <c r="CR181" s="135"/>
      <c r="CS181" s="135"/>
      <c r="CT181" s="135"/>
      <c r="CU181" s="135"/>
      <c r="CV181" s="135"/>
      <c r="CW181" s="135"/>
      <c r="CX181" s="136"/>
    </row>
    <row r="182" spans="2:102">
      <c r="B182" s="133"/>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c r="AB182" s="135"/>
      <c r="AC182" s="135"/>
      <c r="AD182" s="135"/>
      <c r="AE182" s="135"/>
      <c r="AF182" s="135"/>
      <c r="AG182" s="135"/>
      <c r="AH182" s="135"/>
      <c r="AI182" s="135"/>
      <c r="AJ182" s="135"/>
      <c r="AK182" s="135"/>
      <c r="AL182" s="135"/>
      <c r="AM182" s="135"/>
      <c r="AN182" s="135"/>
      <c r="AO182" s="135"/>
      <c r="AP182" s="135"/>
      <c r="AQ182" s="135"/>
      <c r="AR182" s="135"/>
      <c r="AS182" s="135"/>
      <c r="AT182" s="135"/>
      <c r="AU182" s="135"/>
      <c r="AV182" s="135"/>
      <c r="AW182" s="135"/>
      <c r="AX182" s="135"/>
      <c r="AY182" s="135"/>
      <c r="AZ182" s="135"/>
      <c r="BA182" s="135"/>
      <c r="BB182" s="135"/>
      <c r="BC182" s="135"/>
      <c r="BD182" s="135"/>
      <c r="BE182" s="135"/>
      <c r="BF182" s="135"/>
      <c r="BG182" s="135"/>
      <c r="BH182" s="135"/>
      <c r="BI182" s="135"/>
      <c r="BJ182" s="135"/>
      <c r="BK182" s="135"/>
      <c r="BL182" s="135"/>
      <c r="BM182" s="135"/>
      <c r="BN182" s="135"/>
      <c r="BO182" s="135"/>
      <c r="BP182" s="135"/>
      <c r="BQ182" s="135"/>
      <c r="BR182" s="135"/>
      <c r="BS182" s="135"/>
      <c r="BT182" s="135"/>
      <c r="BU182" s="135"/>
      <c r="BV182" s="135"/>
      <c r="BW182" s="135"/>
      <c r="BX182" s="135"/>
      <c r="BY182" s="135"/>
      <c r="BZ182" s="135"/>
      <c r="CA182" s="135"/>
      <c r="CB182" s="135"/>
      <c r="CC182" s="135"/>
      <c r="CD182" s="135"/>
      <c r="CE182" s="135"/>
      <c r="CF182" s="135"/>
      <c r="CG182" s="135"/>
      <c r="CH182" s="135"/>
      <c r="CI182" s="135"/>
      <c r="CJ182" s="135"/>
      <c r="CK182" s="135"/>
      <c r="CL182" s="135"/>
      <c r="CM182" s="135"/>
      <c r="CN182" s="135"/>
      <c r="CO182" s="135"/>
      <c r="CP182" s="135"/>
      <c r="CQ182" s="135"/>
      <c r="CR182" s="135"/>
      <c r="CS182" s="135"/>
      <c r="CT182" s="135"/>
      <c r="CU182" s="135"/>
      <c r="CV182" s="135"/>
      <c r="CW182" s="135"/>
      <c r="CX182" s="136"/>
    </row>
    <row r="183" spans="2:102">
      <c r="B183" s="133"/>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c r="AB183" s="135"/>
      <c r="AC183" s="135"/>
      <c r="AD183" s="135"/>
      <c r="AE183" s="135"/>
      <c r="AF183" s="135"/>
      <c r="AG183" s="135"/>
      <c r="AH183" s="135"/>
      <c r="AI183" s="135"/>
      <c r="AJ183" s="135"/>
      <c r="AK183" s="135"/>
      <c r="AL183" s="135"/>
      <c r="AM183" s="135"/>
      <c r="AN183" s="135"/>
      <c r="AO183" s="135"/>
      <c r="AP183" s="135"/>
      <c r="AQ183" s="135"/>
      <c r="AR183" s="135"/>
      <c r="AS183" s="135"/>
      <c r="AT183" s="135"/>
      <c r="AU183" s="135"/>
      <c r="AV183" s="135"/>
      <c r="AW183" s="135"/>
      <c r="AX183" s="135"/>
      <c r="AY183" s="135"/>
      <c r="AZ183" s="135"/>
      <c r="BA183" s="135"/>
      <c r="BB183" s="135"/>
      <c r="BC183" s="135"/>
      <c r="BD183" s="135"/>
      <c r="BE183" s="135"/>
      <c r="BF183" s="135"/>
      <c r="BG183" s="135"/>
      <c r="BH183" s="135"/>
      <c r="BI183" s="135"/>
      <c r="BJ183" s="135"/>
      <c r="BK183" s="135"/>
      <c r="BL183" s="135"/>
      <c r="BM183" s="135"/>
      <c r="BN183" s="135"/>
      <c r="BO183" s="135"/>
      <c r="BP183" s="135"/>
      <c r="BQ183" s="135"/>
      <c r="BR183" s="135"/>
      <c r="BS183" s="135"/>
      <c r="BT183" s="135"/>
      <c r="BU183" s="135"/>
      <c r="BV183" s="135"/>
      <c r="BW183" s="135"/>
      <c r="BX183" s="135"/>
      <c r="BY183" s="135"/>
      <c r="BZ183" s="135"/>
      <c r="CA183" s="135"/>
      <c r="CB183" s="135"/>
      <c r="CC183" s="135"/>
      <c r="CD183" s="135"/>
      <c r="CE183" s="135"/>
      <c r="CF183" s="135"/>
      <c r="CG183" s="135"/>
      <c r="CH183" s="135"/>
      <c r="CI183" s="135"/>
      <c r="CJ183" s="135"/>
      <c r="CK183" s="135"/>
      <c r="CL183" s="135"/>
      <c r="CM183" s="135"/>
      <c r="CN183" s="135"/>
      <c r="CO183" s="135"/>
      <c r="CP183" s="135"/>
      <c r="CQ183" s="135"/>
      <c r="CR183" s="135"/>
      <c r="CS183" s="135"/>
      <c r="CT183" s="135"/>
      <c r="CU183" s="135"/>
      <c r="CV183" s="135"/>
      <c r="CW183" s="135"/>
      <c r="CX183" s="136"/>
    </row>
    <row r="184" spans="2:102">
      <c r="B184" s="133"/>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c r="AB184" s="135"/>
      <c r="AC184" s="135"/>
      <c r="AD184" s="135"/>
      <c r="AE184" s="135"/>
      <c r="AF184" s="135"/>
      <c r="AG184" s="135"/>
      <c r="AH184" s="135"/>
      <c r="AI184" s="135"/>
      <c r="AJ184" s="135"/>
      <c r="AK184" s="135"/>
      <c r="AL184" s="135"/>
      <c r="AM184" s="135"/>
      <c r="AN184" s="135"/>
      <c r="AO184" s="135"/>
      <c r="AP184" s="135"/>
      <c r="AQ184" s="135"/>
      <c r="AR184" s="135"/>
      <c r="AS184" s="135"/>
      <c r="AT184" s="135"/>
      <c r="AU184" s="135"/>
      <c r="AV184" s="135"/>
      <c r="AW184" s="135"/>
      <c r="AX184" s="135"/>
      <c r="AY184" s="135"/>
      <c r="AZ184" s="135"/>
      <c r="BA184" s="135"/>
      <c r="BB184" s="135"/>
      <c r="BC184" s="135"/>
      <c r="BD184" s="135"/>
      <c r="BE184" s="135"/>
      <c r="BF184" s="135"/>
      <c r="BG184" s="135"/>
      <c r="BH184" s="135"/>
      <c r="BI184" s="135"/>
      <c r="BJ184" s="135"/>
      <c r="BK184" s="135"/>
      <c r="BL184" s="135"/>
      <c r="BM184" s="135"/>
      <c r="BN184" s="135"/>
      <c r="BO184" s="135"/>
      <c r="BP184" s="135"/>
      <c r="BQ184" s="135"/>
      <c r="BR184" s="135"/>
      <c r="BS184" s="135"/>
      <c r="BT184" s="135"/>
      <c r="BU184" s="135"/>
      <c r="BV184" s="135"/>
      <c r="BW184" s="135"/>
      <c r="BX184" s="135"/>
      <c r="BY184" s="135"/>
      <c r="BZ184" s="135"/>
      <c r="CA184" s="135"/>
      <c r="CB184" s="135"/>
      <c r="CC184" s="135"/>
      <c r="CD184" s="135"/>
      <c r="CE184" s="135"/>
      <c r="CF184" s="135"/>
      <c r="CG184" s="135"/>
      <c r="CH184" s="135"/>
      <c r="CI184" s="135"/>
      <c r="CJ184" s="135"/>
      <c r="CK184" s="135"/>
      <c r="CL184" s="135"/>
      <c r="CM184" s="135"/>
      <c r="CN184" s="135"/>
      <c r="CO184" s="135"/>
      <c r="CP184" s="135"/>
      <c r="CQ184" s="135"/>
      <c r="CR184" s="135"/>
      <c r="CS184" s="135"/>
      <c r="CT184" s="135"/>
      <c r="CU184" s="135"/>
      <c r="CV184" s="135"/>
      <c r="CW184" s="135"/>
      <c r="CX184" s="136"/>
    </row>
    <row r="185" spans="2:102">
      <c r="B185" s="133"/>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c r="AB185" s="135"/>
      <c r="AC185" s="135"/>
      <c r="AD185" s="135"/>
      <c r="AE185" s="135"/>
      <c r="AF185" s="135"/>
      <c r="AG185" s="135"/>
      <c r="AH185" s="135"/>
      <c r="AI185" s="135"/>
      <c r="AJ185" s="135"/>
      <c r="AK185" s="135"/>
      <c r="AL185" s="135"/>
      <c r="AM185" s="135"/>
      <c r="AN185" s="135"/>
      <c r="AO185" s="135"/>
      <c r="AP185" s="135"/>
      <c r="AQ185" s="135"/>
      <c r="AR185" s="135"/>
      <c r="AS185" s="135"/>
      <c r="AT185" s="135"/>
      <c r="AU185" s="135"/>
      <c r="AV185" s="135"/>
      <c r="AW185" s="135"/>
      <c r="AX185" s="135"/>
      <c r="AY185" s="135"/>
      <c r="AZ185" s="135"/>
      <c r="BA185" s="135"/>
      <c r="BB185" s="135"/>
      <c r="BC185" s="135"/>
      <c r="BD185" s="135"/>
      <c r="BE185" s="135"/>
      <c r="BF185" s="135"/>
      <c r="BG185" s="135"/>
      <c r="BH185" s="135"/>
      <c r="BI185" s="135"/>
      <c r="BJ185" s="135"/>
      <c r="BK185" s="135"/>
      <c r="BL185" s="135"/>
      <c r="BM185" s="135"/>
      <c r="BN185" s="135"/>
      <c r="BO185" s="135"/>
      <c r="BP185" s="135"/>
      <c r="BQ185" s="135"/>
      <c r="BR185" s="135"/>
      <c r="BS185" s="135"/>
      <c r="BT185" s="135"/>
      <c r="BU185" s="135"/>
      <c r="BV185" s="135"/>
      <c r="BW185" s="135"/>
      <c r="BX185" s="135"/>
      <c r="BY185" s="135"/>
      <c r="BZ185" s="135"/>
      <c r="CA185" s="135"/>
      <c r="CB185" s="135"/>
      <c r="CC185" s="135"/>
      <c r="CD185" s="135"/>
      <c r="CE185" s="135"/>
      <c r="CF185" s="135"/>
      <c r="CG185" s="135"/>
      <c r="CH185" s="135"/>
      <c r="CI185" s="135"/>
      <c r="CJ185" s="135"/>
      <c r="CK185" s="135"/>
      <c r="CL185" s="135"/>
      <c r="CM185" s="135"/>
      <c r="CN185" s="135"/>
      <c r="CO185" s="135"/>
      <c r="CP185" s="135"/>
      <c r="CQ185" s="135"/>
      <c r="CR185" s="135"/>
      <c r="CS185" s="135"/>
      <c r="CT185" s="135"/>
      <c r="CU185" s="135"/>
      <c r="CV185" s="135"/>
      <c r="CW185" s="135"/>
      <c r="CX185" s="136"/>
    </row>
    <row r="186" spans="2:102">
      <c r="B186" s="133"/>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c r="AB186" s="135"/>
      <c r="AC186" s="135"/>
      <c r="AD186" s="135"/>
      <c r="AE186" s="135"/>
      <c r="AF186" s="135"/>
      <c r="AG186" s="135"/>
      <c r="AH186" s="135"/>
      <c r="AI186" s="135"/>
      <c r="AJ186" s="135"/>
      <c r="AK186" s="135"/>
      <c r="AL186" s="135"/>
      <c r="AM186" s="135"/>
      <c r="AN186" s="135"/>
      <c r="AO186" s="135"/>
      <c r="AP186" s="135"/>
      <c r="AQ186" s="135"/>
      <c r="AR186" s="135"/>
      <c r="AS186" s="135"/>
      <c r="AT186" s="135"/>
      <c r="AU186" s="135"/>
      <c r="AV186" s="135"/>
      <c r="AW186" s="135"/>
      <c r="AX186" s="135"/>
      <c r="AY186" s="135"/>
      <c r="AZ186" s="135"/>
      <c r="BA186" s="135"/>
      <c r="BB186" s="135"/>
      <c r="BC186" s="135"/>
      <c r="BD186" s="135"/>
      <c r="BE186" s="135"/>
      <c r="BF186" s="135"/>
      <c r="BG186" s="135"/>
      <c r="BH186" s="135"/>
      <c r="BI186" s="135"/>
      <c r="BJ186" s="135"/>
      <c r="BK186" s="135"/>
      <c r="BL186" s="135"/>
      <c r="BM186" s="135"/>
      <c r="BN186" s="135"/>
      <c r="BO186" s="135"/>
      <c r="BP186" s="135"/>
      <c r="BQ186" s="135"/>
      <c r="BR186" s="135"/>
      <c r="BS186" s="135"/>
      <c r="BT186" s="135"/>
      <c r="BU186" s="135"/>
      <c r="BV186" s="135"/>
      <c r="BW186" s="135"/>
      <c r="BX186" s="135"/>
      <c r="BY186" s="135"/>
      <c r="BZ186" s="135"/>
      <c r="CA186" s="135"/>
      <c r="CB186" s="135"/>
      <c r="CC186" s="135"/>
      <c r="CD186" s="135"/>
      <c r="CE186" s="135"/>
      <c r="CF186" s="135"/>
      <c r="CG186" s="135"/>
      <c r="CH186" s="135"/>
      <c r="CI186" s="135"/>
      <c r="CJ186" s="135"/>
      <c r="CK186" s="135"/>
      <c r="CL186" s="135"/>
      <c r="CM186" s="135"/>
      <c r="CN186" s="135"/>
      <c r="CO186" s="135"/>
      <c r="CP186" s="135"/>
      <c r="CQ186" s="135"/>
      <c r="CR186" s="135"/>
      <c r="CS186" s="135"/>
      <c r="CT186" s="135"/>
      <c r="CU186" s="135"/>
      <c r="CV186" s="135"/>
      <c r="CW186" s="135"/>
      <c r="CX186" s="136"/>
    </row>
    <row r="187" spans="2:102">
      <c r="B187" s="133"/>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c r="AB187" s="135"/>
      <c r="AC187" s="135"/>
      <c r="AD187" s="135"/>
      <c r="AE187" s="135"/>
      <c r="AF187" s="135"/>
      <c r="AG187" s="135"/>
      <c r="AH187" s="135"/>
      <c r="AI187" s="135"/>
      <c r="AJ187" s="135"/>
      <c r="AK187" s="135"/>
      <c r="AL187" s="135"/>
      <c r="AM187" s="135"/>
      <c r="AN187" s="135"/>
      <c r="AO187" s="135"/>
      <c r="AP187" s="135"/>
      <c r="AQ187" s="135"/>
      <c r="AR187" s="135"/>
      <c r="AS187" s="135"/>
      <c r="AT187" s="135"/>
      <c r="AU187" s="135"/>
      <c r="AV187" s="135"/>
      <c r="AW187" s="135"/>
      <c r="AX187" s="135"/>
      <c r="AY187" s="135"/>
      <c r="AZ187" s="135"/>
      <c r="BA187" s="135"/>
      <c r="BB187" s="135"/>
      <c r="BC187" s="135"/>
      <c r="BD187" s="135"/>
      <c r="BE187" s="135"/>
      <c r="BF187" s="135"/>
      <c r="BG187" s="135"/>
      <c r="BH187" s="135"/>
      <c r="BI187" s="135"/>
      <c r="BJ187" s="135"/>
      <c r="BK187" s="135"/>
      <c r="BL187" s="135"/>
      <c r="BM187" s="135"/>
      <c r="BN187" s="135"/>
      <c r="BO187" s="135"/>
      <c r="BP187" s="135"/>
      <c r="BQ187" s="135"/>
      <c r="BR187" s="135"/>
      <c r="BS187" s="135"/>
      <c r="BT187" s="135"/>
      <c r="BU187" s="135"/>
      <c r="BV187" s="135"/>
      <c r="BW187" s="135"/>
      <c r="BX187" s="135"/>
      <c r="BY187" s="135"/>
      <c r="BZ187" s="135"/>
      <c r="CA187" s="135"/>
      <c r="CB187" s="135"/>
      <c r="CC187" s="135"/>
      <c r="CD187" s="135"/>
      <c r="CE187" s="135"/>
      <c r="CF187" s="135"/>
      <c r="CG187" s="135"/>
      <c r="CH187" s="135"/>
      <c r="CI187" s="135"/>
      <c r="CJ187" s="135"/>
      <c r="CK187" s="135"/>
      <c r="CL187" s="135"/>
      <c r="CM187" s="135"/>
      <c r="CN187" s="135"/>
      <c r="CO187" s="135"/>
      <c r="CP187" s="135"/>
      <c r="CQ187" s="135"/>
      <c r="CR187" s="135"/>
      <c r="CS187" s="135"/>
      <c r="CT187" s="135"/>
      <c r="CU187" s="135"/>
      <c r="CV187" s="135"/>
      <c r="CW187" s="135"/>
      <c r="CX187" s="136"/>
    </row>
    <row r="188" spans="2:102">
      <c r="B188" s="133"/>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c r="AB188" s="135"/>
      <c r="AC188" s="135"/>
      <c r="AD188" s="135"/>
      <c r="AE188" s="135"/>
      <c r="AF188" s="135"/>
      <c r="AG188" s="135"/>
      <c r="AH188" s="135"/>
      <c r="AI188" s="135"/>
      <c r="AJ188" s="135"/>
      <c r="AK188" s="135"/>
      <c r="AL188" s="135"/>
      <c r="AM188" s="135"/>
      <c r="AN188" s="135"/>
      <c r="AO188" s="135"/>
      <c r="AP188" s="135"/>
      <c r="AQ188" s="135"/>
      <c r="AR188" s="135"/>
      <c r="AS188" s="135"/>
      <c r="AT188" s="135"/>
      <c r="AU188" s="135"/>
      <c r="AV188" s="135"/>
      <c r="AW188" s="135"/>
      <c r="AX188" s="135"/>
      <c r="AY188" s="135"/>
      <c r="AZ188" s="135"/>
      <c r="BA188" s="135"/>
      <c r="BB188" s="135"/>
      <c r="BC188" s="135"/>
      <c r="BD188" s="135"/>
      <c r="BE188" s="135"/>
      <c r="BF188" s="135"/>
      <c r="BG188" s="135"/>
      <c r="BH188" s="135"/>
      <c r="BI188" s="135"/>
      <c r="BJ188" s="135"/>
      <c r="BK188" s="135"/>
      <c r="BL188" s="135"/>
      <c r="BM188" s="135"/>
      <c r="BN188" s="135"/>
      <c r="BO188" s="135"/>
      <c r="BP188" s="135"/>
      <c r="BQ188" s="135"/>
      <c r="BR188" s="135"/>
      <c r="BS188" s="135"/>
      <c r="BT188" s="135"/>
      <c r="BU188" s="135"/>
      <c r="BV188" s="135"/>
      <c r="BW188" s="135"/>
      <c r="BX188" s="135"/>
      <c r="BY188" s="135"/>
      <c r="BZ188" s="135"/>
      <c r="CA188" s="135"/>
      <c r="CB188" s="135"/>
      <c r="CC188" s="135"/>
      <c r="CD188" s="135"/>
      <c r="CE188" s="135"/>
      <c r="CF188" s="135"/>
      <c r="CG188" s="135"/>
      <c r="CH188" s="135"/>
      <c r="CI188" s="135"/>
      <c r="CJ188" s="135"/>
      <c r="CK188" s="135"/>
      <c r="CL188" s="135"/>
      <c r="CM188" s="135"/>
      <c r="CN188" s="135"/>
      <c r="CO188" s="135"/>
      <c r="CP188" s="135"/>
      <c r="CQ188" s="135"/>
      <c r="CR188" s="135"/>
      <c r="CS188" s="135"/>
      <c r="CT188" s="135"/>
      <c r="CU188" s="135"/>
      <c r="CV188" s="135"/>
      <c r="CW188" s="135"/>
      <c r="CX188" s="136"/>
    </row>
    <row r="189" spans="2:102">
      <c r="B189" s="133"/>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c r="AB189" s="135"/>
      <c r="AC189" s="135"/>
      <c r="AD189" s="135"/>
      <c r="AE189" s="135"/>
      <c r="AF189" s="135"/>
      <c r="AG189" s="135"/>
      <c r="AH189" s="135"/>
      <c r="AI189" s="135"/>
      <c r="AJ189" s="135"/>
      <c r="AK189" s="135"/>
      <c r="AL189" s="135"/>
      <c r="AM189" s="135"/>
      <c r="AN189" s="135"/>
      <c r="AO189" s="135"/>
      <c r="AP189" s="135"/>
      <c r="AQ189" s="135"/>
      <c r="AR189" s="135"/>
      <c r="AS189" s="135"/>
      <c r="AT189" s="135"/>
      <c r="AU189" s="135"/>
      <c r="AV189" s="135"/>
      <c r="AW189" s="135"/>
      <c r="AX189" s="135"/>
      <c r="AY189" s="135"/>
      <c r="AZ189" s="135"/>
      <c r="BA189" s="135"/>
      <c r="BB189" s="135"/>
      <c r="BC189" s="135"/>
      <c r="BD189" s="135"/>
      <c r="BE189" s="135"/>
      <c r="BF189" s="135"/>
      <c r="BG189" s="135"/>
      <c r="BH189" s="135"/>
      <c r="BI189" s="135"/>
      <c r="BJ189" s="135"/>
      <c r="BK189" s="135"/>
      <c r="BL189" s="135"/>
      <c r="BM189" s="135"/>
      <c r="BN189" s="135"/>
      <c r="BO189" s="135"/>
      <c r="BP189" s="135"/>
      <c r="BQ189" s="135"/>
      <c r="BR189" s="135"/>
      <c r="BS189" s="135"/>
      <c r="BT189" s="135"/>
      <c r="BU189" s="135"/>
      <c r="BV189" s="135"/>
      <c r="BW189" s="135"/>
      <c r="BX189" s="135"/>
      <c r="BY189" s="135"/>
      <c r="BZ189" s="135"/>
      <c r="CA189" s="135"/>
      <c r="CB189" s="135"/>
      <c r="CC189" s="135"/>
      <c r="CD189" s="135"/>
      <c r="CE189" s="135"/>
      <c r="CF189" s="135"/>
      <c r="CG189" s="135"/>
      <c r="CH189" s="135"/>
      <c r="CI189" s="135"/>
      <c r="CJ189" s="135"/>
      <c r="CK189" s="135"/>
      <c r="CL189" s="135"/>
      <c r="CM189" s="135"/>
      <c r="CN189" s="135"/>
      <c r="CO189" s="135"/>
      <c r="CP189" s="135"/>
      <c r="CQ189" s="135"/>
      <c r="CR189" s="135"/>
      <c r="CS189" s="135"/>
      <c r="CT189" s="135"/>
      <c r="CU189" s="135"/>
      <c r="CV189" s="135"/>
      <c r="CW189" s="135"/>
      <c r="CX189" s="136"/>
    </row>
    <row r="190" spans="2:102">
      <c r="B190" s="133"/>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c r="AB190" s="135"/>
      <c r="AC190" s="135"/>
      <c r="AD190" s="135"/>
      <c r="AE190" s="135"/>
      <c r="AF190" s="135"/>
      <c r="AG190" s="135"/>
      <c r="AH190" s="135"/>
      <c r="AI190" s="135"/>
      <c r="AJ190" s="135"/>
      <c r="AK190" s="135"/>
      <c r="AL190" s="135"/>
      <c r="AM190" s="135"/>
      <c r="AN190" s="135"/>
      <c r="AO190" s="135"/>
      <c r="AP190" s="135"/>
      <c r="AQ190" s="135"/>
      <c r="AR190" s="135"/>
      <c r="AS190" s="135"/>
      <c r="AT190" s="135"/>
      <c r="AU190" s="135"/>
      <c r="AV190" s="135"/>
      <c r="AW190" s="135"/>
      <c r="AX190" s="135"/>
      <c r="AY190" s="135"/>
      <c r="AZ190" s="135"/>
      <c r="BA190" s="135"/>
      <c r="BB190" s="135"/>
      <c r="BC190" s="135"/>
      <c r="BD190" s="135"/>
      <c r="BE190" s="135"/>
      <c r="BF190" s="135"/>
      <c r="BG190" s="135"/>
      <c r="BH190" s="135"/>
      <c r="BI190" s="135"/>
      <c r="BJ190" s="135"/>
      <c r="BK190" s="135"/>
      <c r="BL190" s="135"/>
      <c r="BM190" s="135"/>
      <c r="BN190" s="135"/>
      <c r="BO190" s="135"/>
      <c r="BP190" s="135"/>
      <c r="BQ190" s="135"/>
      <c r="BR190" s="135"/>
      <c r="BS190" s="135"/>
      <c r="BT190" s="135"/>
      <c r="BU190" s="135"/>
      <c r="BV190" s="135"/>
      <c r="BW190" s="135"/>
      <c r="BX190" s="135"/>
      <c r="BY190" s="135"/>
      <c r="BZ190" s="135"/>
      <c r="CA190" s="135"/>
      <c r="CB190" s="135"/>
      <c r="CC190" s="135"/>
      <c r="CD190" s="135"/>
      <c r="CE190" s="135"/>
      <c r="CF190" s="135"/>
      <c r="CG190" s="135"/>
      <c r="CH190" s="135"/>
      <c r="CI190" s="135"/>
      <c r="CJ190" s="135"/>
      <c r="CK190" s="135"/>
      <c r="CL190" s="135"/>
      <c r="CM190" s="135"/>
      <c r="CN190" s="135"/>
      <c r="CO190" s="135"/>
      <c r="CP190" s="135"/>
      <c r="CQ190" s="135"/>
      <c r="CR190" s="135"/>
      <c r="CS190" s="135"/>
      <c r="CT190" s="135"/>
      <c r="CU190" s="135"/>
      <c r="CV190" s="135"/>
      <c r="CW190" s="135"/>
      <c r="CX190" s="136"/>
    </row>
    <row r="191" spans="2:102">
      <c r="B191" s="133"/>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c r="AB191" s="135"/>
      <c r="AC191" s="135"/>
      <c r="AD191" s="135"/>
      <c r="AE191" s="135"/>
      <c r="AF191" s="135"/>
      <c r="AG191" s="135"/>
      <c r="AH191" s="135"/>
      <c r="AI191" s="135"/>
      <c r="AJ191" s="135"/>
      <c r="AK191" s="135"/>
      <c r="AL191" s="135"/>
      <c r="AM191" s="135"/>
      <c r="AN191" s="135"/>
      <c r="AO191" s="135"/>
      <c r="AP191" s="135"/>
      <c r="AQ191" s="135"/>
      <c r="AR191" s="135"/>
      <c r="AS191" s="135"/>
      <c r="AT191" s="135"/>
      <c r="AU191" s="135"/>
      <c r="AV191" s="135"/>
      <c r="AW191" s="135"/>
      <c r="AX191" s="135"/>
      <c r="AY191" s="135"/>
      <c r="AZ191" s="135"/>
      <c r="BA191" s="135"/>
      <c r="BB191" s="135"/>
      <c r="BC191" s="135"/>
      <c r="BD191" s="135"/>
      <c r="BE191" s="135"/>
      <c r="BF191" s="135"/>
      <c r="BG191" s="135"/>
      <c r="BH191" s="135"/>
      <c r="BI191" s="135"/>
      <c r="BJ191" s="135"/>
      <c r="BK191" s="135"/>
      <c r="BL191" s="135"/>
      <c r="BM191" s="135"/>
      <c r="BN191" s="135"/>
      <c r="BO191" s="135"/>
      <c r="BP191" s="135"/>
      <c r="BQ191" s="135"/>
      <c r="BR191" s="135"/>
      <c r="BS191" s="135"/>
      <c r="BT191" s="135"/>
      <c r="BU191" s="135"/>
      <c r="BV191" s="135"/>
      <c r="BW191" s="135"/>
      <c r="BX191" s="135"/>
      <c r="BY191" s="135"/>
      <c r="BZ191" s="135"/>
      <c r="CA191" s="135"/>
      <c r="CB191" s="135"/>
      <c r="CC191" s="135"/>
      <c r="CD191" s="135"/>
      <c r="CE191" s="135"/>
      <c r="CF191" s="135"/>
      <c r="CG191" s="135"/>
      <c r="CH191" s="135"/>
      <c r="CI191" s="135"/>
      <c r="CJ191" s="135"/>
      <c r="CK191" s="135"/>
      <c r="CL191" s="135"/>
      <c r="CM191" s="135"/>
      <c r="CN191" s="135"/>
      <c r="CO191" s="135"/>
      <c r="CP191" s="135"/>
      <c r="CQ191" s="135"/>
      <c r="CR191" s="135"/>
      <c r="CS191" s="135"/>
      <c r="CT191" s="135"/>
      <c r="CU191" s="135"/>
      <c r="CV191" s="135"/>
      <c r="CW191" s="135"/>
      <c r="CX191" s="136"/>
    </row>
    <row r="192" spans="2:102">
      <c r="B192" s="133"/>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c r="AB192" s="135"/>
      <c r="AC192" s="135"/>
      <c r="AD192" s="135"/>
      <c r="AE192" s="135"/>
      <c r="AF192" s="135"/>
      <c r="AG192" s="135"/>
      <c r="AH192" s="135"/>
      <c r="AI192" s="135"/>
      <c r="AJ192" s="135"/>
      <c r="AK192" s="135"/>
      <c r="AL192" s="135"/>
      <c r="AM192" s="135"/>
      <c r="AN192" s="135"/>
      <c r="AO192" s="135"/>
      <c r="AP192" s="135"/>
      <c r="AQ192" s="135"/>
      <c r="AR192" s="135"/>
      <c r="AS192" s="135"/>
      <c r="AT192" s="135"/>
      <c r="AU192" s="135"/>
      <c r="AV192" s="135"/>
      <c r="AW192" s="135"/>
      <c r="AX192" s="135"/>
      <c r="AY192" s="135"/>
      <c r="AZ192" s="135"/>
      <c r="BA192" s="135"/>
      <c r="BB192" s="135"/>
      <c r="BC192" s="135"/>
      <c r="BD192" s="135"/>
      <c r="BE192" s="135"/>
      <c r="BF192" s="135"/>
      <c r="BG192" s="135"/>
      <c r="BH192" s="135"/>
      <c r="BI192" s="135"/>
      <c r="BJ192" s="135"/>
      <c r="BK192" s="135"/>
      <c r="BL192" s="135"/>
      <c r="BM192" s="135"/>
      <c r="BN192" s="135"/>
      <c r="BO192" s="135"/>
      <c r="BP192" s="135"/>
      <c r="BQ192" s="135"/>
      <c r="BR192" s="135"/>
      <c r="BS192" s="135"/>
      <c r="BT192" s="135"/>
      <c r="BU192" s="135"/>
      <c r="BV192" s="135"/>
      <c r="BW192" s="135"/>
      <c r="BX192" s="135"/>
      <c r="BY192" s="135"/>
      <c r="BZ192" s="135"/>
      <c r="CA192" s="135"/>
      <c r="CB192" s="135"/>
      <c r="CC192" s="135"/>
      <c r="CD192" s="135"/>
      <c r="CE192" s="135"/>
      <c r="CF192" s="135"/>
      <c r="CG192" s="135"/>
      <c r="CH192" s="135"/>
      <c r="CI192" s="135"/>
      <c r="CJ192" s="135"/>
      <c r="CK192" s="135"/>
      <c r="CL192" s="135"/>
      <c r="CM192" s="135"/>
      <c r="CN192" s="135"/>
      <c r="CO192" s="135"/>
      <c r="CP192" s="135"/>
      <c r="CQ192" s="135"/>
      <c r="CR192" s="135"/>
      <c r="CS192" s="135"/>
      <c r="CT192" s="135"/>
      <c r="CU192" s="135"/>
      <c r="CV192" s="135"/>
      <c r="CW192" s="135"/>
      <c r="CX192" s="136"/>
    </row>
    <row r="193" spans="2:102">
      <c r="B193" s="133"/>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c r="AB193" s="135"/>
      <c r="AC193" s="135"/>
      <c r="AD193" s="135"/>
      <c r="AE193" s="135"/>
      <c r="AF193" s="135"/>
      <c r="AG193" s="135"/>
      <c r="AH193" s="135"/>
      <c r="AI193" s="135"/>
      <c r="AJ193" s="135"/>
      <c r="AK193" s="135"/>
      <c r="AL193" s="135"/>
      <c r="AM193" s="135"/>
      <c r="AN193" s="135"/>
      <c r="AO193" s="135"/>
      <c r="AP193" s="135"/>
      <c r="AQ193" s="135"/>
      <c r="AR193" s="135"/>
      <c r="AS193" s="135"/>
      <c r="AT193" s="135"/>
      <c r="AU193" s="135"/>
      <c r="AV193" s="135"/>
      <c r="AW193" s="135"/>
      <c r="AX193" s="135"/>
      <c r="AY193" s="135"/>
      <c r="AZ193" s="135"/>
      <c r="BA193" s="135"/>
      <c r="BB193" s="135"/>
      <c r="BC193" s="135"/>
      <c r="BD193" s="135"/>
      <c r="BE193" s="135"/>
      <c r="BF193" s="135"/>
      <c r="BG193" s="135"/>
      <c r="BH193" s="135"/>
      <c r="BI193" s="135"/>
      <c r="BJ193" s="135"/>
      <c r="BK193" s="135"/>
      <c r="BL193" s="135"/>
      <c r="BM193" s="135"/>
      <c r="BN193" s="135"/>
      <c r="BO193" s="135"/>
      <c r="BP193" s="135"/>
      <c r="BQ193" s="135"/>
      <c r="BR193" s="135"/>
      <c r="BS193" s="135"/>
      <c r="BT193" s="135"/>
      <c r="BU193" s="135"/>
      <c r="BV193" s="135"/>
      <c r="BW193" s="135"/>
      <c r="BX193" s="135"/>
      <c r="BY193" s="135"/>
      <c r="BZ193" s="135"/>
      <c r="CA193" s="135"/>
      <c r="CB193" s="135"/>
      <c r="CC193" s="135"/>
      <c r="CD193" s="135"/>
      <c r="CE193" s="135"/>
      <c r="CF193" s="135"/>
      <c r="CG193" s="135"/>
      <c r="CH193" s="135"/>
      <c r="CI193" s="135"/>
      <c r="CJ193" s="135"/>
      <c r="CK193" s="135"/>
      <c r="CL193" s="135"/>
      <c r="CM193" s="135"/>
      <c r="CN193" s="135"/>
      <c r="CO193" s="135"/>
      <c r="CP193" s="135"/>
      <c r="CQ193" s="135"/>
      <c r="CR193" s="135"/>
      <c r="CS193" s="135"/>
      <c r="CT193" s="135"/>
      <c r="CU193" s="135"/>
      <c r="CV193" s="135"/>
      <c r="CW193" s="135"/>
      <c r="CX193" s="136"/>
    </row>
    <row r="194" spans="2:102">
      <c r="B194" s="133"/>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c r="AB194" s="135"/>
      <c r="AC194" s="135"/>
      <c r="AD194" s="135"/>
      <c r="AE194" s="135"/>
      <c r="AF194" s="135"/>
      <c r="AG194" s="135"/>
      <c r="AH194" s="135"/>
      <c r="AI194" s="135"/>
      <c r="AJ194" s="135"/>
      <c r="AK194" s="135"/>
      <c r="AL194" s="135"/>
      <c r="AM194" s="135"/>
      <c r="AN194" s="135"/>
      <c r="AO194" s="135"/>
      <c r="AP194" s="135"/>
      <c r="AQ194" s="135"/>
      <c r="AR194" s="135"/>
      <c r="AS194" s="135"/>
      <c r="AT194" s="135"/>
      <c r="AU194" s="135"/>
      <c r="AV194" s="135"/>
      <c r="AW194" s="135"/>
      <c r="AX194" s="135"/>
      <c r="AY194" s="135"/>
      <c r="AZ194" s="135"/>
      <c r="BA194" s="135"/>
      <c r="BB194" s="135"/>
      <c r="BC194" s="135"/>
      <c r="BD194" s="135"/>
      <c r="BE194" s="135"/>
      <c r="BF194" s="135"/>
      <c r="BG194" s="135"/>
      <c r="BH194" s="135"/>
      <c r="BI194" s="135"/>
      <c r="BJ194" s="135"/>
      <c r="BK194" s="135"/>
      <c r="BL194" s="135"/>
      <c r="BM194" s="135"/>
      <c r="BN194" s="135"/>
      <c r="BO194" s="135"/>
      <c r="BP194" s="135"/>
      <c r="BQ194" s="135"/>
      <c r="BR194" s="135"/>
      <c r="BS194" s="135"/>
      <c r="BT194" s="135"/>
      <c r="BU194" s="135"/>
      <c r="BV194" s="135"/>
      <c r="BW194" s="135"/>
      <c r="BX194" s="135"/>
      <c r="BY194" s="135"/>
      <c r="BZ194" s="135"/>
      <c r="CA194" s="135"/>
      <c r="CB194" s="135"/>
      <c r="CC194" s="135"/>
      <c r="CD194" s="135"/>
      <c r="CE194" s="135"/>
      <c r="CF194" s="135"/>
      <c r="CG194" s="135"/>
      <c r="CH194" s="135"/>
      <c r="CI194" s="135"/>
      <c r="CJ194" s="135"/>
      <c r="CK194" s="135"/>
      <c r="CL194" s="135"/>
      <c r="CM194" s="135"/>
      <c r="CN194" s="135"/>
      <c r="CO194" s="135"/>
      <c r="CP194" s="135"/>
      <c r="CQ194" s="135"/>
      <c r="CR194" s="135"/>
      <c r="CS194" s="135"/>
      <c r="CT194" s="135"/>
      <c r="CU194" s="135"/>
      <c r="CV194" s="135"/>
      <c r="CW194" s="135"/>
      <c r="CX194" s="136"/>
    </row>
    <row r="195" spans="2:102">
      <c r="B195" s="133"/>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c r="AB195" s="135"/>
      <c r="AC195" s="135"/>
      <c r="AD195" s="135"/>
      <c r="AE195" s="135"/>
      <c r="AF195" s="135"/>
      <c r="AG195" s="135"/>
      <c r="AH195" s="135"/>
      <c r="AI195" s="135"/>
      <c r="AJ195" s="135"/>
      <c r="AK195" s="135"/>
      <c r="AL195" s="135"/>
      <c r="AM195" s="135"/>
      <c r="AN195" s="135"/>
      <c r="AO195" s="135"/>
      <c r="AP195" s="135"/>
      <c r="AQ195" s="135"/>
      <c r="AR195" s="135"/>
      <c r="AS195" s="135"/>
      <c r="AT195" s="135"/>
      <c r="AU195" s="135"/>
      <c r="AV195" s="135"/>
      <c r="AW195" s="135"/>
      <c r="AX195" s="135"/>
      <c r="AY195" s="135"/>
      <c r="AZ195" s="135"/>
      <c r="BA195" s="135"/>
      <c r="BB195" s="135"/>
      <c r="BC195" s="135"/>
      <c r="BD195" s="135"/>
      <c r="BE195" s="135"/>
      <c r="BF195" s="135"/>
      <c r="BG195" s="135"/>
      <c r="BH195" s="135"/>
      <c r="BI195" s="135"/>
      <c r="BJ195" s="135"/>
      <c r="BK195" s="135"/>
      <c r="BL195" s="135"/>
      <c r="BM195" s="135"/>
      <c r="BN195" s="135"/>
      <c r="BO195" s="135"/>
      <c r="BP195" s="135"/>
      <c r="BQ195" s="135"/>
      <c r="BR195" s="135"/>
      <c r="BS195" s="135"/>
      <c r="BT195" s="135"/>
      <c r="BU195" s="135"/>
      <c r="BV195" s="135"/>
      <c r="BW195" s="135"/>
      <c r="BX195" s="135"/>
      <c r="BY195" s="135"/>
      <c r="BZ195" s="135"/>
      <c r="CA195" s="135"/>
      <c r="CB195" s="135"/>
      <c r="CC195" s="135"/>
      <c r="CD195" s="135"/>
      <c r="CE195" s="135"/>
      <c r="CF195" s="135"/>
      <c r="CG195" s="135"/>
      <c r="CH195" s="135"/>
      <c r="CI195" s="135"/>
      <c r="CJ195" s="135"/>
      <c r="CK195" s="135"/>
      <c r="CL195" s="135"/>
      <c r="CM195" s="135"/>
      <c r="CN195" s="135"/>
      <c r="CO195" s="135"/>
      <c r="CP195" s="135"/>
      <c r="CQ195" s="135"/>
      <c r="CR195" s="135"/>
      <c r="CS195" s="135"/>
      <c r="CT195" s="135"/>
      <c r="CU195" s="135"/>
      <c r="CV195" s="135"/>
      <c r="CW195" s="135"/>
      <c r="CX195" s="136"/>
    </row>
    <row r="196" spans="2:102">
      <c r="B196" s="133"/>
      <c r="C196" s="135"/>
      <c r="D196" s="135"/>
      <c r="E196" s="135"/>
      <c r="F196" s="135"/>
      <c r="G196" s="135"/>
      <c r="AA196" s="135"/>
      <c r="AB196" s="135"/>
      <c r="AC196" s="135"/>
      <c r="AD196" s="135"/>
      <c r="AE196" s="135"/>
      <c r="AF196" s="135"/>
      <c r="AG196" s="135"/>
      <c r="AH196" s="135"/>
      <c r="AI196" s="135"/>
      <c r="AJ196" s="135"/>
      <c r="AK196" s="135"/>
      <c r="AL196" s="135"/>
      <c r="AM196" s="135"/>
      <c r="AN196" s="135"/>
      <c r="AO196" s="135"/>
      <c r="AP196" s="135"/>
      <c r="AQ196" s="135"/>
      <c r="AR196" s="135"/>
      <c r="AS196" s="135"/>
      <c r="AT196" s="135"/>
      <c r="AU196" s="135"/>
      <c r="AV196" s="135"/>
      <c r="AW196" s="135"/>
      <c r="AX196" s="135"/>
      <c r="AY196" s="135"/>
      <c r="AZ196" s="135"/>
      <c r="BA196" s="135"/>
      <c r="BB196" s="135"/>
      <c r="BC196" s="135"/>
      <c r="BD196" s="135"/>
      <c r="BE196" s="135"/>
      <c r="BF196" s="135"/>
      <c r="BG196" s="135"/>
      <c r="BH196" s="135"/>
      <c r="BI196" s="135"/>
      <c r="BJ196" s="135"/>
      <c r="BK196" s="135"/>
      <c r="BL196" s="135"/>
      <c r="BM196" s="135"/>
      <c r="BN196" s="135"/>
      <c r="BO196" s="135"/>
      <c r="BP196" s="135"/>
      <c r="BQ196" s="135"/>
      <c r="BR196" s="135"/>
      <c r="BS196" s="135"/>
      <c r="BT196" s="135"/>
      <c r="BU196" s="135"/>
      <c r="BV196" s="135"/>
      <c r="BW196" s="135"/>
      <c r="BX196" s="135"/>
      <c r="BY196" s="135"/>
      <c r="BZ196" s="135"/>
      <c r="CA196" s="135"/>
      <c r="CB196" s="135"/>
      <c r="CC196" s="135"/>
      <c r="CD196" s="135"/>
      <c r="CE196" s="135"/>
      <c r="CF196" s="135"/>
      <c r="CG196" s="135"/>
      <c r="CH196" s="135"/>
      <c r="CI196" s="135"/>
      <c r="CJ196" s="135"/>
      <c r="CK196" s="135"/>
      <c r="CL196" s="135"/>
      <c r="CM196" s="135"/>
      <c r="CN196" s="135"/>
      <c r="CO196" s="135"/>
      <c r="CP196" s="135"/>
      <c r="CQ196" s="135"/>
      <c r="CR196" s="135"/>
      <c r="CS196" s="135"/>
      <c r="CT196" s="135"/>
      <c r="CU196" s="135"/>
      <c r="CV196" s="135"/>
      <c r="CW196" s="135"/>
      <c r="CX196" s="136"/>
    </row>
    <row r="197" spans="2:102">
      <c r="B197" s="133"/>
      <c r="C197" s="135"/>
      <c r="D197" s="135"/>
      <c r="E197" s="135"/>
      <c r="F197" s="135"/>
      <c r="G197" s="135"/>
      <c r="AA197" s="135"/>
      <c r="AB197" s="135"/>
      <c r="AC197" s="135"/>
      <c r="AD197" s="135"/>
      <c r="AE197" s="135"/>
      <c r="AF197" s="135"/>
      <c r="AG197" s="135"/>
      <c r="AH197" s="135"/>
      <c r="AI197" s="135"/>
      <c r="AJ197" s="135"/>
      <c r="AK197" s="135"/>
      <c r="AL197" s="135"/>
      <c r="AM197" s="135"/>
      <c r="AN197" s="135"/>
      <c r="AO197" s="135"/>
      <c r="AP197" s="135"/>
      <c r="AQ197" s="135"/>
      <c r="AR197" s="135"/>
      <c r="AS197" s="135"/>
      <c r="AT197" s="135"/>
      <c r="AU197" s="135"/>
      <c r="AV197" s="135"/>
      <c r="AW197" s="135"/>
      <c r="AX197" s="135"/>
      <c r="AY197" s="135"/>
      <c r="AZ197" s="135"/>
      <c r="BA197" s="135"/>
      <c r="BB197" s="135"/>
      <c r="BC197" s="135"/>
      <c r="BD197" s="135"/>
      <c r="BE197" s="135"/>
      <c r="BF197" s="135"/>
      <c r="BG197" s="135"/>
      <c r="BH197" s="135"/>
      <c r="BI197" s="135"/>
      <c r="BJ197" s="135"/>
      <c r="BK197" s="135"/>
      <c r="BL197" s="135"/>
      <c r="BM197" s="135"/>
      <c r="BN197" s="135"/>
      <c r="BO197" s="135"/>
      <c r="BP197" s="135"/>
      <c r="BQ197" s="135"/>
      <c r="BR197" s="135"/>
      <c r="BS197" s="135"/>
      <c r="BT197" s="135"/>
      <c r="BU197" s="135"/>
      <c r="BV197" s="135"/>
      <c r="BW197" s="135"/>
      <c r="BX197" s="135"/>
      <c r="BY197" s="135"/>
      <c r="BZ197" s="135"/>
      <c r="CA197" s="135"/>
      <c r="CB197" s="135"/>
      <c r="CC197" s="135"/>
      <c r="CD197" s="135"/>
      <c r="CE197" s="135"/>
      <c r="CF197" s="135"/>
      <c r="CG197" s="135"/>
      <c r="CH197" s="135"/>
      <c r="CI197" s="135"/>
      <c r="CJ197" s="135"/>
      <c r="CK197" s="135"/>
      <c r="CL197" s="135"/>
      <c r="CM197" s="135"/>
      <c r="CN197" s="135"/>
      <c r="CO197" s="135"/>
      <c r="CP197" s="135"/>
      <c r="CQ197" s="135"/>
      <c r="CR197" s="135"/>
      <c r="CS197" s="135"/>
      <c r="CT197" s="135"/>
      <c r="CU197" s="135"/>
      <c r="CV197" s="135"/>
      <c r="CW197" s="135"/>
      <c r="CX197" s="136"/>
    </row>
    <row r="198" spans="2:102">
      <c r="B198" s="133"/>
      <c r="C198" s="135"/>
      <c r="D198" s="135"/>
      <c r="E198" s="135"/>
      <c r="F198" s="135"/>
      <c r="G198" s="135"/>
      <c r="H198" s="135" t="s">
        <v>107</v>
      </c>
      <c r="I198" s="135"/>
      <c r="J198" s="135"/>
      <c r="K198" s="135"/>
      <c r="L198" s="135"/>
      <c r="M198" s="135"/>
      <c r="N198" s="135" t="s">
        <v>120</v>
      </c>
      <c r="O198" s="135"/>
      <c r="P198" s="135"/>
      <c r="Q198" s="135"/>
      <c r="R198" s="135"/>
      <c r="S198" s="135"/>
      <c r="T198" s="135"/>
      <c r="U198" s="135"/>
      <c r="V198" s="135"/>
      <c r="W198" s="135"/>
      <c r="X198" s="135"/>
      <c r="Y198" s="135"/>
      <c r="Z198" s="135"/>
      <c r="AA198" s="135"/>
      <c r="AB198" s="135"/>
      <c r="AC198" s="135"/>
      <c r="AD198" s="135"/>
      <c r="AE198" s="135"/>
      <c r="AF198" s="135"/>
      <c r="AG198" s="135"/>
      <c r="AH198" s="135"/>
      <c r="AI198" s="135"/>
      <c r="AJ198" s="135"/>
      <c r="AK198" s="135"/>
      <c r="AL198" s="135"/>
      <c r="AM198" s="135"/>
      <c r="AN198" s="135"/>
      <c r="AO198" s="135"/>
      <c r="AP198" s="135"/>
      <c r="AQ198" s="135"/>
      <c r="AR198" s="135"/>
      <c r="AS198" s="135"/>
      <c r="AT198" s="135"/>
      <c r="AU198" s="135"/>
      <c r="AV198" s="135"/>
      <c r="AW198" s="135"/>
      <c r="AX198" s="135"/>
      <c r="AY198" s="135"/>
      <c r="AZ198" s="135"/>
      <c r="BA198" s="135"/>
      <c r="BB198" s="135"/>
      <c r="BC198" s="135"/>
      <c r="BD198" s="135"/>
      <c r="BE198" s="135"/>
      <c r="BF198" s="135"/>
      <c r="BG198" s="135"/>
      <c r="BH198" s="135"/>
      <c r="BI198" s="135"/>
      <c r="BJ198" s="135"/>
      <c r="BK198" s="135"/>
      <c r="BL198" s="135"/>
      <c r="BM198" s="135"/>
      <c r="BN198" s="135"/>
      <c r="BO198" s="135"/>
      <c r="BP198" s="135"/>
      <c r="BQ198" s="135"/>
      <c r="BR198" s="135"/>
      <c r="BS198" s="135"/>
      <c r="BT198" s="135"/>
      <c r="BU198" s="135"/>
      <c r="BV198" s="135"/>
      <c r="BW198" s="135"/>
      <c r="BX198" s="135"/>
      <c r="BY198" s="135"/>
      <c r="BZ198" s="135"/>
      <c r="CA198" s="135"/>
      <c r="CB198" s="135"/>
      <c r="CC198" s="135"/>
      <c r="CD198" s="135"/>
      <c r="CE198" s="135"/>
      <c r="CF198" s="135"/>
      <c r="CG198" s="135"/>
      <c r="CH198" s="135"/>
      <c r="CI198" s="135"/>
      <c r="CJ198" s="135"/>
      <c r="CK198" s="135"/>
      <c r="CL198" s="135"/>
      <c r="CM198" s="135"/>
      <c r="CN198" s="135"/>
      <c r="CO198" s="135"/>
      <c r="CP198" s="135"/>
      <c r="CQ198" s="135"/>
      <c r="CR198" s="135"/>
      <c r="CS198" s="135"/>
      <c r="CT198" s="135"/>
      <c r="CU198" s="135"/>
      <c r="CV198" s="135"/>
      <c r="CW198" s="135"/>
      <c r="CX198" s="136"/>
    </row>
    <row r="199" spans="2:102">
      <c r="B199" s="133"/>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c r="AB199" s="135"/>
      <c r="AC199" s="135"/>
      <c r="AD199" s="135"/>
      <c r="AE199" s="135"/>
      <c r="AF199" s="135"/>
      <c r="AG199" s="135"/>
      <c r="AH199" s="135"/>
      <c r="AI199" s="135"/>
      <c r="AJ199" s="135"/>
      <c r="AK199" s="135"/>
      <c r="AL199" s="135"/>
      <c r="AM199" s="135"/>
      <c r="AN199" s="135"/>
      <c r="AO199" s="135"/>
      <c r="AP199" s="135"/>
      <c r="AQ199" s="135"/>
      <c r="AR199" s="135"/>
      <c r="AS199" s="135"/>
      <c r="AT199" s="135"/>
      <c r="AU199" s="135"/>
      <c r="AV199" s="135"/>
      <c r="AW199" s="135"/>
      <c r="AX199" s="135"/>
      <c r="AY199" s="135"/>
      <c r="AZ199" s="135"/>
      <c r="BA199" s="135"/>
      <c r="BB199" s="135"/>
      <c r="BC199" s="135"/>
      <c r="BD199" s="135"/>
      <c r="BE199" s="135"/>
      <c r="BF199" s="135"/>
      <c r="BG199" s="135"/>
      <c r="BH199" s="135"/>
      <c r="BI199" s="135"/>
      <c r="BJ199" s="135"/>
      <c r="BK199" s="135"/>
      <c r="BL199" s="135"/>
      <c r="BM199" s="135"/>
      <c r="BN199" s="135"/>
      <c r="BO199" s="135"/>
      <c r="BP199" s="135"/>
      <c r="BQ199" s="135"/>
      <c r="BR199" s="135"/>
      <c r="BS199" s="135"/>
      <c r="BT199" s="135"/>
      <c r="BU199" s="135"/>
      <c r="BV199" s="135"/>
      <c r="BW199" s="135"/>
      <c r="BX199" s="135"/>
      <c r="BY199" s="135"/>
      <c r="BZ199" s="135"/>
      <c r="CA199" s="135"/>
      <c r="CB199" s="135"/>
      <c r="CC199" s="135"/>
      <c r="CD199" s="135"/>
      <c r="CE199" s="135"/>
      <c r="CF199" s="135"/>
      <c r="CG199" s="135"/>
      <c r="CH199" s="135"/>
      <c r="CI199" s="135"/>
      <c r="CJ199" s="135"/>
      <c r="CK199" s="135"/>
      <c r="CL199" s="135"/>
      <c r="CM199" s="135"/>
      <c r="CN199" s="135"/>
      <c r="CO199" s="135"/>
      <c r="CP199" s="135"/>
      <c r="CQ199" s="135"/>
      <c r="CR199" s="135"/>
      <c r="CS199" s="135"/>
      <c r="CT199" s="135"/>
      <c r="CU199" s="135"/>
      <c r="CV199" s="135"/>
      <c r="CW199" s="135"/>
      <c r="CX199" s="136"/>
    </row>
    <row r="200" spans="2:102">
      <c r="B200" s="133"/>
      <c r="C200" s="135"/>
      <c r="D200" s="135"/>
      <c r="E200" s="135"/>
      <c r="F200" s="135"/>
      <c r="G200" s="135"/>
      <c r="H200" s="135" t="s">
        <v>109</v>
      </c>
      <c r="I200" s="135"/>
      <c r="J200" s="135"/>
      <c r="K200" s="135"/>
      <c r="L200" s="135"/>
      <c r="M200" s="135"/>
      <c r="N200" s="135" t="s">
        <v>143</v>
      </c>
      <c r="O200" s="135"/>
      <c r="P200" s="135"/>
      <c r="Q200" s="135"/>
      <c r="R200" s="135"/>
      <c r="S200" s="135"/>
      <c r="T200" s="135"/>
      <c r="U200" s="135"/>
      <c r="V200" s="135"/>
      <c r="W200" s="135"/>
      <c r="X200" s="135"/>
      <c r="Y200" s="135"/>
      <c r="Z200" s="135"/>
      <c r="AA200" s="135"/>
      <c r="AB200" s="135"/>
      <c r="AC200" s="135"/>
      <c r="AD200" s="135"/>
      <c r="AE200" s="135"/>
      <c r="AF200" s="135"/>
      <c r="AG200" s="135"/>
      <c r="AH200" s="135"/>
      <c r="AI200" s="135"/>
      <c r="AJ200" s="135"/>
      <c r="AK200" s="135"/>
      <c r="AL200" s="135"/>
      <c r="AM200" s="135"/>
      <c r="AN200" s="135"/>
      <c r="AO200" s="135"/>
      <c r="AP200" s="135"/>
      <c r="AQ200" s="135"/>
      <c r="AR200" s="135"/>
      <c r="AS200" s="135"/>
      <c r="AT200" s="135"/>
      <c r="AU200" s="135"/>
      <c r="AV200" s="135"/>
      <c r="AW200" s="135"/>
      <c r="AX200" s="135"/>
      <c r="AY200" s="135"/>
      <c r="AZ200" s="135"/>
      <c r="BA200" s="135"/>
      <c r="BB200" s="135"/>
      <c r="BC200" s="135"/>
      <c r="BD200" s="135"/>
      <c r="BE200" s="135"/>
      <c r="BF200" s="135"/>
      <c r="BG200" s="135"/>
      <c r="BH200" s="135"/>
      <c r="BI200" s="135"/>
      <c r="BJ200" s="135"/>
      <c r="BK200" s="135"/>
      <c r="BL200" s="135"/>
      <c r="BM200" s="135"/>
      <c r="BN200" s="135"/>
      <c r="BO200" s="135"/>
      <c r="BP200" s="135"/>
      <c r="BQ200" s="135"/>
      <c r="BR200" s="135"/>
      <c r="BS200" s="135"/>
      <c r="BT200" s="135"/>
      <c r="BU200" s="135"/>
      <c r="BV200" s="135"/>
      <c r="BW200" s="135"/>
      <c r="BX200" s="135"/>
      <c r="BY200" s="135"/>
      <c r="BZ200" s="135"/>
      <c r="CA200" s="135"/>
      <c r="CB200" s="135"/>
      <c r="CC200" s="135"/>
      <c r="CD200" s="135"/>
      <c r="CE200" s="135"/>
      <c r="CF200" s="135"/>
      <c r="CG200" s="135"/>
      <c r="CH200" s="135"/>
      <c r="CI200" s="135"/>
      <c r="CJ200" s="135"/>
      <c r="CK200" s="135"/>
      <c r="CL200" s="135"/>
      <c r="CM200" s="135"/>
      <c r="CN200" s="135"/>
      <c r="CO200" s="135"/>
      <c r="CP200" s="135"/>
      <c r="CQ200" s="135"/>
      <c r="CR200" s="135"/>
      <c r="CS200" s="135"/>
      <c r="CT200" s="135"/>
      <c r="CU200" s="135"/>
      <c r="CV200" s="135"/>
      <c r="CW200" s="135"/>
      <c r="CX200" s="136"/>
    </row>
    <row r="201" spans="2:102">
      <c r="B201" s="133"/>
      <c r="C201" s="135"/>
      <c r="D201" s="135"/>
      <c r="E201" s="135"/>
      <c r="F201" s="135"/>
      <c r="G201" s="135"/>
      <c r="H201" s="135"/>
      <c r="I201" s="135"/>
      <c r="J201" s="135"/>
      <c r="K201" s="135"/>
      <c r="L201" s="135"/>
      <c r="M201" s="135"/>
      <c r="N201" s="103" t="s">
        <v>144</v>
      </c>
      <c r="O201" s="135"/>
      <c r="P201" s="135"/>
      <c r="Q201" s="135"/>
      <c r="R201" s="135"/>
      <c r="S201" s="135"/>
      <c r="T201" s="135"/>
      <c r="U201" s="135"/>
      <c r="V201" s="135"/>
      <c r="W201" s="135"/>
      <c r="X201" s="135"/>
      <c r="Y201" s="135"/>
      <c r="Z201" s="135"/>
      <c r="AA201" s="135"/>
      <c r="AB201" s="135"/>
      <c r="AC201" s="135"/>
      <c r="AD201" s="135"/>
      <c r="AE201" s="135"/>
      <c r="AF201" s="135"/>
      <c r="AG201" s="135"/>
      <c r="AH201" s="135"/>
      <c r="AI201" s="135"/>
      <c r="AJ201" s="135"/>
      <c r="AK201" s="135"/>
      <c r="AL201" s="135"/>
      <c r="AM201" s="135"/>
      <c r="AN201" s="135"/>
      <c r="AO201" s="135"/>
      <c r="AP201" s="135"/>
      <c r="AQ201" s="135"/>
      <c r="AR201" s="135"/>
      <c r="AS201" s="135"/>
      <c r="AT201" s="135"/>
      <c r="AU201" s="135"/>
      <c r="AV201" s="135"/>
      <c r="AW201" s="135"/>
      <c r="AX201" s="135"/>
      <c r="AY201" s="135"/>
      <c r="AZ201" s="135"/>
      <c r="BA201" s="135"/>
      <c r="BB201" s="135"/>
      <c r="BC201" s="135"/>
      <c r="BD201" s="135"/>
      <c r="BE201" s="135"/>
      <c r="BF201" s="135"/>
      <c r="BG201" s="135"/>
      <c r="BH201" s="135"/>
      <c r="BI201" s="135"/>
      <c r="BJ201" s="135"/>
      <c r="BK201" s="135"/>
      <c r="BL201" s="135"/>
      <c r="BM201" s="135"/>
      <c r="BN201" s="135"/>
      <c r="BO201" s="135"/>
      <c r="BP201" s="135"/>
      <c r="BQ201" s="135"/>
      <c r="BR201" s="135"/>
      <c r="BS201" s="135"/>
      <c r="BT201" s="135"/>
      <c r="BU201" s="135"/>
      <c r="BV201" s="135"/>
      <c r="BW201" s="135"/>
      <c r="BX201" s="135"/>
      <c r="BY201" s="135"/>
      <c r="BZ201" s="135"/>
      <c r="CA201" s="135"/>
      <c r="CB201" s="135"/>
      <c r="CC201" s="135"/>
      <c r="CD201" s="135"/>
      <c r="CE201" s="135"/>
      <c r="CF201" s="135"/>
      <c r="CG201" s="135"/>
      <c r="CH201" s="135"/>
      <c r="CI201" s="135"/>
      <c r="CJ201" s="135"/>
      <c r="CK201" s="135"/>
      <c r="CL201" s="135"/>
      <c r="CM201" s="135"/>
      <c r="CN201" s="135"/>
      <c r="CO201" s="135"/>
      <c r="CP201" s="135"/>
      <c r="CQ201" s="135"/>
      <c r="CR201" s="135"/>
      <c r="CS201" s="135"/>
      <c r="CT201" s="135"/>
      <c r="CU201" s="135"/>
      <c r="CV201" s="135"/>
      <c r="CW201" s="135"/>
      <c r="CX201" s="136"/>
    </row>
    <row r="202" spans="2:102">
      <c r="B202" s="133"/>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c r="AB202" s="135"/>
      <c r="AC202" s="135"/>
      <c r="AD202" s="135"/>
      <c r="AE202" s="135"/>
      <c r="AF202" s="135"/>
      <c r="AG202" s="135"/>
      <c r="AH202" s="135"/>
      <c r="AI202" s="135"/>
      <c r="AJ202" s="135"/>
      <c r="AK202" s="135"/>
      <c r="AL202" s="135"/>
      <c r="AM202" s="135"/>
      <c r="AN202" s="135"/>
      <c r="AO202" s="135"/>
      <c r="AP202" s="135"/>
      <c r="AQ202" s="135"/>
      <c r="AR202" s="135"/>
      <c r="AS202" s="135"/>
      <c r="AT202" s="135"/>
      <c r="AU202" s="135"/>
      <c r="AV202" s="135"/>
      <c r="AW202" s="135"/>
      <c r="AX202" s="135"/>
      <c r="AY202" s="135"/>
      <c r="AZ202" s="135"/>
      <c r="BA202" s="135"/>
      <c r="BB202" s="135"/>
      <c r="BC202" s="135"/>
      <c r="BD202" s="135"/>
      <c r="BE202" s="135"/>
      <c r="BF202" s="135"/>
      <c r="BG202" s="135"/>
      <c r="BH202" s="135"/>
      <c r="BI202" s="135"/>
      <c r="BJ202" s="135"/>
      <c r="BK202" s="135"/>
      <c r="BL202" s="135"/>
      <c r="BM202" s="135"/>
      <c r="BN202" s="135"/>
      <c r="BO202" s="135"/>
      <c r="BP202" s="135"/>
      <c r="BQ202" s="135"/>
      <c r="BR202" s="135"/>
      <c r="BS202" s="135"/>
      <c r="BT202" s="135"/>
      <c r="BU202" s="135"/>
      <c r="BV202" s="135"/>
      <c r="BW202" s="135"/>
      <c r="BX202" s="135"/>
      <c r="BY202" s="135"/>
      <c r="BZ202" s="135"/>
      <c r="CA202" s="135"/>
      <c r="CB202" s="135"/>
      <c r="CC202" s="135"/>
      <c r="CD202" s="135"/>
      <c r="CE202" s="135"/>
      <c r="CF202" s="135"/>
      <c r="CG202" s="135"/>
      <c r="CH202" s="135"/>
      <c r="CI202" s="135"/>
      <c r="CJ202" s="135"/>
      <c r="CK202" s="135"/>
      <c r="CL202" s="135"/>
      <c r="CM202" s="135"/>
      <c r="CN202" s="135"/>
      <c r="CO202" s="135"/>
      <c r="CP202" s="135"/>
      <c r="CQ202" s="135"/>
      <c r="CR202" s="135"/>
      <c r="CS202" s="135"/>
      <c r="CT202" s="135"/>
      <c r="CU202" s="135"/>
      <c r="CV202" s="135"/>
      <c r="CW202" s="135"/>
      <c r="CX202" s="136"/>
    </row>
    <row r="203" spans="2:102">
      <c r="B203" s="133"/>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c r="AB203" s="135"/>
      <c r="AC203" s="135"/>
      <c r="AD203" s="135"/>
      <c r="AE203" s="135"/>
      <c r="AF203" s="135"/>
      <c r="AG203" s="135"/>
      <c r="AH203" s="135"/>
      <c r="AI203" s="135"/>
      <c r="AJ203" s="135"/>
      <c r="AK203" s="135"/>
      <c r="AL203" s="135"/>
      <c r="AM203" s="135"/>
      <c r="AN203" s="135"/>
      <c r="AO203" s="135"/>
      <c r="AP203" s="135"/>
      <c r="AQ203" s="135"/>
      <c r="AR203" s="135"/>
      <c r="AS203" s="135"/>
      <c r="AT203" s="135"/>
      <c r="AU203" s="135"/>
      <c r="AV203" s="135"/>
      <c r="AW203" s="135"/>
      <c r="AX203" s="135"/>
      <c r="AY203" s="135"/>
      <c r="AZ203" s="135"/>
      <c r="BA203" s="135"/>
      <c r="BB203" s="135"/>
      <c r="BC203" s="135"/>
      <c r="BD203" s="135"/>
      <c r="BE203" s="135"/>
      <c r="BF203" s="135"/>
      <c r="BG203" s="135"/>
      <c r="BH203" s="135"/>
      <c r="BI203" s="135"/>
      <c r="BJ203" s="135"/>
      <c r="BK203" s="135"/>
      <c r="BL203" s="135"/>
      <c r="BM203" s="135"/>
      <c r="BN203" s="135"/>
      <c r="BO203" s="135"/>
      <c r="BP203" s="135"/>
      <c r="BQ203" s="135"/>
      <c r="BR203" s="135"/>
      <c r="BS203" s="135"/>
      <c r="BT203" s="135"/>
      <c r="BU203" s="135"/>
      <c r="BV203" s="135"/>
      <c r="BW203" s="135"/>
      <c r="BX203" s="135"/>
      <c r="BY203" s="135"/>
      <c r="BZ203" s="135"/>
      <c r="CA203" s="135"/>
      <c r="CB203" s="135"/>
      <c r="CC203" s="135"/>
      <c r="CD203" s="135"/>
      <c r="CE203" s="135"/>
      <c r="CF203" s="135"/>
      <c r="CG203" s="135"/>
      <c r="CH203" s="135"/>
      <c r="CI203" s="135"/>
      <c r="CJ203" s="135"/>
      <c r="CK203" s="135"/>
      <c r="CL203" s="135"/>
      <c r="CM203" s="135"/>
      <c r="CN203" s="135"/>
      <c r="CO203" s="135"/>
      <c r="CP203" s="135"/>
      <c r="CQ203" s="135"/>
      <c r="CR203" s="135"/>
      <c r="CS203" s="135"/>
      <c r="CT203" s="135"/>
      <c r="CU203" s="135"/>
      <c r="CV203" s="135"/>
      <c r="CW203" s="135"/>
      <c r="CX203" s="136"/>
    </row>
    <row r="204" spans="2:102">
      <c r="B204" s="133"/>
      <c r="C204" s="135"/>
      <c r="D204" s="135"/>
      <c r="E204" s="135"/>
      <c r="F204" s="135"/>
      <c r="G204" s="135"/>
      <c r="H204" s="135"/>
      <c r="I204" s="135"/>
      <c r="J204" s="135"/>
      <c r="K204" s="135"/>
      <c r="L204" s="135"/>
      <c r="M204" s="135"/>
      <c r="N204" s="138" t="s">
        <v>123</v>
      </c>
      <c r="O204" s="135"/>
      <c r="P204" s="135"/>
      <c r="Q204" s="135"/>
      <c r="R204" s="135"/>
      <c r="S204" s="135"/>
      <c r="T204" s="135"/>
      <c r="U204" s="135"/>
      <c r="V204" s="135"/>
      <c r="W204" s="144" t="s">
        <v>124</v>
      </c>
      <c r="X204" s="135"/>
      <c r="Y204" s="135"/>
      <c r="Z204" s="135"/>
      <c r="AA204" s="135"/>
      <c r="AB204" s="135"/>
      <c r="AC204" s="135"/>
      <c r="AD204" s="135"/>
      <c r="AE204" s="135"/>
      <c r="AF204" s="135"/>
      <c r="AG204" s="135"/>
      <c r="AH204" s="135"/>
      <c r="AI204" s="135"/>
      <c r="AJ204" s="135"/>
      <c r="AK204" s="135"/>
      <c r="AL204" s="135"/>
      <c r="AM204" s="135"/>
      <c r="AN204" s="135"/>
      <c r="AO204" s="135"/>
      <c r="AP204" s="135"/>
      <c r="AQ204" s="135"/>
      <c r="AR204" s="135"/>
      <c r="AS204" s="135"/>
      <c r="AT204" s="135"/>
      <c r="AU204" s="135"/>
      <c r="AV204" s="135"/>
      <c r="AW204" s="135"/>
      <c r="AX204" s="135"/>
      <c r="AY204" s="135"/>
      <c r="AZ204" s="135"/>
      <c r="BA204" s="135"/>
      <c r="BB204" s="135"/>
      <c r="BC204" s="135"/>
      <c r="BD204" s="135"/>
      <c r="BE204" s="135"/>
      <c r="BF204" s="135"/>
      <c r="BG204" s="135"/>
      <c r="BH204" s="135"/>
      <c r="BI204" s="135"/>
      <c r="BJ204" s="135"/>
      <c r="BK204" s="135"/>
      <c r="BL204" s="135"/>
      <c r="BM204" s="135"/>
      <c r="BN204" s="135"/>
      <c r="BO204" s="135"/>
      <c r="BP204" s="135"/>
      <c r="BQ204" s="135"/>
      <c r="BR204" s="135"/>
      <c r="BS204" s="135"/>
      <c r="BT204" s="135"/>
      <c r="BU204" s="135"/>
      <c r="BV204" s="135"/>
      <c r="BW204" s="135"/>
      <c r="BX204" s="135"/>
      <c r="BY204" s="135"/>
      <c r="BZ204" s="135"/>
      <c r="CA204" s="135"/>
      <c r="CB204" s="135"/>
      <c r="CC204" s="135"/>
      <c r="CD204" s="135"/>
      <c r="CE204" s="135"/>
      <c r="CF204" s="135"/>
      <c r="CG204" s="135"/>
      <c r="CH204" s="135"/>
      <c r="CI204" s="135"/>
      <c r="CJ204" s="135"/>
      <c r="CK204" s="135"/>
      <c r="CL204" s="135"/>
      <c r="CM204" s="135"/>
      <c r="CN204" s="135"/>
      <c r="CO204" s="135"/>
      <c r="CP204" s="135"/>
      <c r="CQ204" s="135"/>
      <c r="CR204" s="135"/>
      <c r="CS204" s="135"/>
      <c r="CT204" s="135"/>
      <c r="CU204" s="135"/>
      <c r="CV204" s="135"/>
      <c r="CW204" s="135"/>
      <c r="CX204" s="136"/>
    </row>
    <row r="205" spans="2:102">
      <c r="B205" s="133"/>
      <c r="C205" s="135"/>
      <c r="D205" s="135"/>
      <c r="E205" s="135"/>
      <c r="F205" s="135"/>
      <c r="G205" s="135"/>
      <c r="H205" s="135"/>
      <c r="I205" s="135"/>
      <c r="J205" s="135"/>
      <c r="K205" s="135"/>
      <c r="L205" s="135"/>
      <c r="M205" s="135"/>
      <c r="N205" s="138" t="s">
        <v>125</v>
      </c>
      <c r="O205" s="135"/>
      <c r="P205" s="135"/>
      <c r="Q205" s="135"/>
      <c r="R205" s="135"/>
      <c r="S205" s="135"/>
      <c r="T205" s="135"/>
      <c r="U205" s="135"/>
      <c r="V205" s="135"/>
      <c r="W205" s="135"/>
      <c r="X205" s="135"/>
      <c r="Y205" s="135"/>
      <c r="Z205" s="135"/>
      <c r="AA205" s="135"/>
      <c r="AB205" s="135"/>
      <c r="AC205" s="135"/>
      <c r="AD205" s="135"/>
      <c r="AE205" s="135"/>
      <c r="AF205" s="135"/>
      <c r="AG205" s="135"/>
      <c r="AH205" s="135"/>
      <c r="AI205" s="135"/>
      <c r="AJ205" s="135"/>
      <c r="AK205" s="135"/>
      <c r="AL205" s="135"/>
      <c r="AM205" s="135"/>
      <c r="AN205" s="135"/>
      <c r="AO205" s="135"/>
      <c r="AP205" s="135"/>
      <c r="AQ205" s="135"/>
      <c r="AR205" s="135"/>
      <c r="AS205" s="135"/>
      <c r="AT205" s="135"/>
      <c r="AU205" s="135"/>
      <c r="AV205" s="135"/>
      <c r="AW205" s="135"/>
      <c r="AX205" s="135"/>
      <c r="AY205" s="135"/>
      <c r="AZ205" s="135"/>
      <c r="BA205" s="135"/>
      <c r="BB205" s="135"/>
      <c r="BC205" s="135"/>
      <c r="BD205" s="135"/>
      <c r="BE205" s="135"/>
      <c r="BF205" s="135"/>
      <c r="BG205" s="135"/>
      <c r="BH205" s="135"/>
      <c r="BI205" s="135"/>
      <c r="BJ205" s="135"/>
      <c r="BK205" s="135"/>
      <c r="BL205" s="135"/>
      <c r="BM205" s="135"/>
      <c r="BN205" s="135"/>
      <c r="BO205" s="135"/>
      <c r="BP205" s="135"/>
      <c r="BQ205" s="135"/>
      <c r="BR205" s="135"/>
      <c r="BS205" s="135"/>
      <c r="BT205" s="135"/>
      <c r="BU205" s="135"/>
      <c r="BV205" s="135"/>
      <c r="BW205" s="135"/>
      <c r="BX205" s="135"/>
      <c r="BY205" s="135"/>
      <c r="BZ205" s="135"/>
      <c r="CA205" s="135"/>
      <c r="CB205" s="135"/>
      <c r="CC205" s="135"/>
      <c r="CD205" s="135"/>
      <c r="CE205" s="135"/>
      <c r="CF205" s="135"/>
      <c r="CG205" s="135"/>
      <c r="CH205" s="135"/>
      <c r="CI205" s="135"/>
      <c r="CJ205" s="135"/>
      <c r="CK205" s="135"/>
      <c r="CL205" s="135"/>
      <c r="CM205" s="135"/>
      <c r="CN205" s="135"/>
      <c r="CO205" s="135"/>
      <c r="CP205" s="135"/>
      <c r="CQ205" s="135"/>
      <c r="CR205" s="135"/>
      <c r="CS205" s="135"/>
      <c r="CT205" s="135"/>
      <c r="CU205" s="135"/>
      <c r="CV205" s="135"/>
      <c r="CW205" s="135"/>
      <c r="CX205" s="136"/>
    </row>
    <row r="206" spans="2:102">
      <c r="B206" s="133"/>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c r="AB206" s="135"/>
      <c r="AC206" s="135"/>
      <c r="AD206" s="135"/>
      <c r="AE206" s="135"/>
      <c r="AF206" s="135"/>
      <c r="AG206" s="135"/>
      <c r="AH206" s="135"/>
      <c r="AI206" s="135"/>
      <c r="AJ206" s="135"/>
      <c r="AK206" s="135"/>
      <c r="AL206" s="135"/>
      <c r="AM206" s="135"/>
      <c r="AN206" s="135"/>
      <c r="AO206" s="135"/>
      <c r="AP206" s="135"/>
      <c r="AQ206" s="135"/>
      <c r="AR206" s="135"/>
      <c r="AS206" s="135"/>
      <c r="AT206" s="135"/>
      <c r="AU206" s="135"/>
      <c r="AV206" s="135"/>
      <c r="AW206" s="135"/>
      <c r="AX206" s="135"/>
      <c r="AY206" s="135"/>
      <c r="AZ206" s="135"/>
      <c r="BA206" s="135"/>
      <c r="BB206" s="135"/>
      <c r="BC206" s="135"/>
      <c r="BD206" s="135"/>
      <c r="BE206" s="135"/>
      <c r="BF206" s="135"/>
      <c r="BG206" s="135"/>
      <c r="BH206" s="135"/>
      <c r="BI206" s="135"/>
      <c r="BJ206" s="135"/>
      <c r="BK206" s="135"/>
      <c r="BL206" s="135"/>
      <c r="BM206" s="135"/>
      <c r="BN206" s="135"/>
      <c r="BO206" s="135"/>
      <c r="BP206" s="135"/>
      <c r="BQ206" s="135"/>
      <c r="BR206" s="135"/>
      <c r="BS206" s="135"/>
      <c r="BT206" s="135"/>
      <c r="BU206" s="135"/>
      <c r="BV206" s="135"/>
      <c r="BW206" s="135"/>
      <c r="BX206" s="135"/>
      <c r="BY206" s="135"/>
      <c r="BZ206" s="135"/>
      <c r="CA206" s="135"/>
      <c r="CB206" s="135"/>
      <c r="CC206" s="135"/>
      <c r="CD206" s="135"/>
      <c r="CE206" s="135"/>
      <c r="CF206" s="135"/>
      <c r="CG206" s="135"/>
      <c r="CH206" s="135"/>
      <c r="CI206" s="135"/>
      <c r="CJ206" s="135"/>
      <c r="CK206" s="135"/>
      <c r="CL206" s="135"/>
      <c r="CM206" s="135"/>
      <c r="CN206" s="135"/>
      <c r="CO206" s="135"/>
      <c r="CP206" s="135"/>
      <c r="CQ206" s="135"/>
      <c r="CR206" s="135"/>
      <c r="CS206" s="135"/>
      <c r="CT206" s="135"/>
      <c r="CU206" s="135"/>
      <c r="CV206" s="135"/>
      <c r="CW206" s="135"/>
      <c r="CX206" s="136"/>
    </row>
    <row r="207" spans="2:102">
      <c r="B207" s="133"/>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c r="AB207" s="135"/>
      <c r="AC207" s="135"/>
      <c r="AD207" s="135"/>
      <c r="AE207" s="135"/>
      <c r="AF207" s="135"/>
      <c r="AG207" s="135"/>
      <c r="AH207" s="135"/>
      <c r="AI207" s="135"/>
      <c r="AJ207" s="135"/>
      <c r="AK207" s="135"/>
      <c r="AL207" s="135"/>
      <c r="AM207" s="135"/>
      <c r="AN207" s="135"/>
      <c r="AO207" s="135"/>
      <c r="AP207" s="135"/>
      <c r="AQ207" s="135"/>
      <c r="AR207" s="135"/>
      <c r="AS207" s="135"/>
      <c r="AT207" s="135"/>
      <c r="AU207" s="135"/>
      <c r="AV207" s="135"/>
      <c r="AW207" s="135"/>
      <c r="AX207" s="135"/>
      <c r="AY207" s="135"/>
      <c r="AZ207" s="135"/>
      <c r="BA207" s="135"/>
      <c r="BB207" s="135"/>
      <c r="BC207" s="135"/>
      <c r="BD207" s="135"/>
      <c r="BE207" s="135"/>
      <c r="BF207" s="135"/>
      <c r="BG207" s="135"/>
      <c r="BH207" s="135"/>
      <c r="BI207" s="135"/>
      <c r="BJ207" s="135"/>
      <c r="BK207" s="135"/>
      <c r="BL207" s="135"/>
      <c r="BM207" s="135"/>
      <c r="BN207" s="135"/>
      <c r="BO207" s="135"/>
      <c r="BP207" s="135"/>
      <c r="BQ207" s="135"/>
      <c r="BR207" s="135"/>
      <c r="BS207" s="135"/>
      <c r="BT207" s="135"/>
      <c r="BU207" s="135"/>
      <c r="BV207" s="135"/>
      <c r="BW207" s="135"/>
      <c r="BX207" s="135"/>
      <c r="BY207" s="135"/>
      <c r="BZ207" s="135"/>
      <c r="CA207" s="135"/>
      <c r="CB207" s="135"/>
      <c r="CC207" s="135"/>
      <c r="CD207" s="135"/>
      <c r="CE207" s="135"/>
      <c r="CF207" s="135"/>
      <c r="CG207" s="135"/>
      <c r="CH207" s="135"/>
      <c r="CI207" s="135"/>
      <c r="CJ207" s="135"/>
      <c r="CK207" s="135"/>
      <c r="CL207" s="135"/>
      <c r="CM207" s="135"/>
      <c r="CN207" s="135"/>
      <c r="CO207" s="135"/>
      <c r="CP207" s="135"/>
      <c r="CQ207" s="135"/>
      <c r="CR207" s="135"/>
      <c r="CS207" s="135"/>
      <c r="CT207" s="135"/>
      <c r="CU207" s="135"/>
      <c r="CV207" s="135"/>
      <c r="CW207" s="135"/>
      <c r="CX207" s="136"/>
    </row>
    <row r="208" spans="2:102">
      <c r="B208" s="133"/>
      <c r="C208" s="135"/>
      <c r="D208" s="135"/>
      <c r="E208" s="135"/>
      <c r="F208" s="135"/>
      <c r="G208" s="135"/>
      <c r="H208" s="135"/>
      <c r="I208" s="135"/>
      <c r="J208" s="135"/>
      <c r="K208" s="135"/>
      <c r="L208" s="135"/>
      <c r="M208" s="135"/>
      <c r="N208" s="138" t="s">
        <v>126</v>
      </c>
      <c r="O208" s="135"/>
      <c r="P208" s="135"/>
      <c r="Q208" s="135"/>
      <c r="R208" s="135"/>
      <c r="S208" s="135"/>
      <c r="T208" s="144"/>
      <c r="U208" s="135"/>
      <c r="V208" s="135"/>
      <c r="W208" s="144" t="s">
        <v>124</v>
      </c>
      <c r="X208" s="135"/>
      <c r="Y208" s="135"/>
      <c r="Z208" s="135"/>
      <c r="AA208" s="135"/>
      <c r="AB208" s="135"/>
      <c r="AC208" s="135"/>
      <c r="AD208" s="135"/>
      <c r="AE208" s="135"/>
      <c r="AF208" s="135"/>
      <c r="AG208" s="135"/>
      <c r="AH208" s="135"/>
      <c r="AI208" s="135"/>
      <c r="AJ208" s="135"/>
      <c r="AK208" s="135"/>
      <c r="AL208" s="135"/>
      <c r="AM208" s="135"/>
      <c r="AN208" s="135"/>
      <c r="AO208" s="135"/>
      <c r="AP208" s="135"/>
      <c r="AQ208" s="135"/>
      <c r="AR208" s="135"/>
      <c r="AS208" s="135"/>
      <c r="AT208" s="135"/>
      <c r="AU208" s="135"/>
      <c r="AV208" s="135"/>
      <c r="AW208" s="135"/>
      <c r="AX208" s="135"/>
      <c r="AY208" s="135"/>
      <c r="AZ208" s="135"/>
      <c r="BA208" s="135"/>
      <c r="BB208" s="135"/>
      <c r="BC208" s="135"/>
      <c r="BD208" s="135"/>
      <c r="BE208" s="135"/>
      <c r="BF208" s="135"/>
      <c r="BG208" s="135"/>
      <c r="BH208" s="135"/>
      <c r="BI208" s="135"/>
      <c r="BJ208" s="135"/>
      <c r="BK208" s="135"/>
      <c r="BL208" s="135"/>
      <c r="BM208" s="135"/>
      <c r="BN208" s="135"/>
      <c r="BO208" s="135"/>
      <c r="BP208" s="135"/>
      <c r="BQ208" s="135"/>
      <c r="BR208" s="135"/>
      <c r="BS208" s="135"/>
      <c r="BT208" s="135"/>
      <c r="BU208" s="135"/>
      <c r="BV208" s="135"/>
      <c r="BW208" s="135"/>
      <c r="BX208" s="135"/>
      <c r="BY208" s="135"/>
      <c r="BZ208" s="135"/>
      <c r="CA208" s="135"/>
      <c r="CB208" s="135"/>
      <c r="CC208" s="135"/>
      <c r="CD208" s="135"/>
      <c r="CE208" s="135"/>
      <c r="CF208" s="135"/>
      <c r="CG208" s="135"/>
      <c r="CH208" s="135"/>
      <c r="CI208" s="135"/>
      <c r="CJ208" s="135"/>
      <c r="CK208" s="135"/>
      <c r="CL208" s="135"/>
      <c r="CM208" s="135"/>
      <c r="CN208" s="135"/>
      <c r="CO208" s="135"/>
      <c r="CP208" s="135"/>
      <c r="CQ208" s="135"/>
      <c r="CR208" s="135"/>
      <c r="CS208" s="135"/>
      <c r="CT208" s="135"/>
      <c r="CU208" s="135"/>
      <c r="CV208" s="135"/>
      <c r="CW208" s="135"/>
      <c r="CX208" s="136"/>
    </row>
    <row r="209" spans="2:102">
      <c r="B209" s="133"/>
      <c r="C209" s="135"/>
      <c r="D209" s="135"/>
      <c r="E209" s="135"/>
      <c r="F209" s="135"/>
      <c r="G209" s="135"/>
      <c r="H209" s="135"/>
      <c r="I209" s="135"/>
      <c r="J209" s="135"/>
      <c r="K209" s="135"/>
      <c r="L209" s="135"/>
      <c r="M209" s="135"/>
      <c r="N209" s="138" t="s">
        <v>125</v>
      </c>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c r="BB209" s="135"/>
      <c r="BC209" s="135"/>
      <c r="BD209" s="135"/>
      <c r="BE209" s="135"/>
      <c r="BF209" s="135"/>
      <c r="BG209" s="135"/>
      <c r="BH209" s="135"/>
      <c r="BI209" s="135"/>
      <c r="BJ209" s="135"/>
      <c r="BK209" s="135"/>
      <c r="BL209" s="135"/>
      <c r="BM209" s="135"/>
      <c r="BN209" s="135"/>
      <c r="BO209" s="135"/>
      <c r="BP209" s="135"/>
      <c r="BQ209" s="135"/>
      <c r="BR209" s="135"/>
      <c r="BS209" s="135"/>
      <c r="BT209" s="135"/>
      <c r="BU209" s="135"/>
      <c r="BV209" s="135"/>
      <c r="BW209" s="135"/>
      <c r="BX209" s="135"/>
      <c r="BY209" s="135"/>
      <c r="BZ209" s="135"/>
      <c r="CA209" s="135"/>
      <c r="CB209" s="135"/>
      <c r="CC209" s="135"/>
      <c r="CD209" s="135"/>
      <c r="CE209" s="135"/>
      <c r="CF209" s="135"/>
      <c r="CG209" s="135"/>
      <c r="CH209" s="135"/>
      <c r="CI209" s="135"/>
      <c r="CJ209" s="135"/>
      <c r="CK209" s="135"/>
      <c r="CL209" s="135"/>
      <c r="CM209" s="135"/>
      <c r="CN209" s="135"/>
      <c r="CO209" s="135"/>
      <c r="CP209" s="135"/>
      <c r="CQ209" s="135"/>
      <c r="CR209" s="135"/>
      <c r="CS209" s="135"/>
      <c r="CT209" s="135"/>
      <c r="CU209" s="135"/>
      <c r="CV209" s="135"/>
      <c r="CW209" s="135"/>
      <c r="CX209" s="136"/>
    </row>
    <row r="210" spans="2:102">
      <c r="B210" s="133"/>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c r="AC210" s="135"/>
      <c r="AD210" s="135"/>
      <c r="AE210" s="135"/>
      <c r="AF210" s="135"/>
      <c r="AG210" s="135"/>
      <c r="AH210" s="135"/>
      <c r="AI210" s="135"/>
      <c r="AJ210" s="135"/>
      <c r="AK210" s="135"/>
      <c r="AL210" s="135"/>
      <c r="AM210" s="135"/>
      <c r="AN210" s="135"/>
      <c r="AO210" s="135"/>
      <c r="AP210" s="135"/>
      <c r="AQ210" s="135"/>
      <c r="AR210" s="135"/>
      <c r="AS210" s="135"/>
      <c r="AT210" s="135"/>
      <c r="AU210" s="135"/>
      <c r="AV210" s="135"/>
      <c r="AW210" s="135"/>
      <c r="AX210" s="135"/>
      <c r="AY210" s="135"/>
      <c r="AZ210" s="135"/>
      <c r="BA210" s="135"/>
      <c r="BB210" s="135"/>
      <c r="BC210" s="135"/>
      <c r="BD210" s="135"/>
      <c r="BE210" s="135"/>
      <c r="BF210" s="135"/>
      <c r="BG210" s="135"/>
      <c r="BH210" s="135"/>
      <c r="BI210" s="135"/>
      <c r="BJ210" s="135"/>
      <c r="BK210" s="135"/>
      <c r="BL210" s="135"/>
      <c r="BM210" s="135"/>
      <c r="BN210" s="135"/>
      <c r="BO210" s="135"/>
      <c r="BP210" s="135"/>
      <c r="BQ210" s="135"/>
      <c r="BR210" s="135"/>
      <c r="BS210" s="135"/>
      <c r="BT210" s="135"/>
      <c r="BU210" s="135"/>
      <c r="BV210" s="135"/>
      <c r="BW210" s="135"/>
      <c r="BX210" s="135"/>
      <c r="BY210" s="135"/>
      <c r="BZ210" s="135"/>
      <c r="CA210" s="135"/>
      <c r="CB210" s="135"/>
      <c r="CC210" s="135"/>
      <c r="CD210" s="135"/>
      <c r="CE210" s="135"/>
      <c r="CF210" s="135"/>
      <c r="CG210" s="135"/>
      <c r="CH210" s="135"/>
      <c r="CI210" s="135"/>
      <c r="CJ210" s="135"/>
      <c r="CK210" s="135"/>
      <c r="CL210" s="135"/>
      <c r="CM210" s="135"/>
      <c r="CN210" s="135"/>
      <c r="CO210" s="135"/>
      <c r="CP210" s="135"/>
      <c r="CQ210" s="135"/>
      <c r="CR210" s="135"/>
      <c r="CS210" s="135"/>
      <c r="CT210" s="135"/>
      <c r="CU210" s="135"/>
      <c r="CV210" s="135"/>
      <c r="CW210" s="135"/>
      <c r="CX210" s="136"/>
    </row>
    <row r="211" spans="2:102">
      <c r="B211" s="130"/>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c r="Z211" s="131"/>
      <c r="AA211" s="131"/>
      <c r="AB211" s="131"/>
      <c r="AC211" s="131"/>
      <c r="AD211" s="131"/>
      <c r="AE211" s="131"/>
      <c r="AF211" s="131"/>
      <c r="AG211" s="131"/>
      <c r="AH211" s="131"/>
      <c r="AI211" s="131"/>
      <c r="AJ211" s="131"/>
      <c r="AK211" s="131"/>
      <c r="AL211" s="131"/>
      <c r="AM211" s="131"/>
      <c r="AN211" s="131"/>
      <c r="AO211" s="131"/>
      <c r="AP211" s="131"/>
      <c r="AQ211" s="131"/>
      <c r="AR211" s="131"/>
      <c r="AS211" s="131"/>
      <c r="AT211" s="131"/>
      <c r="AU211" s="131"/>
      <c r="AV211" s="131"/>
      <c r="AW211" s="131"/>
      <c r="AX211" s="131"/>
      <c r="AY211" s="131"/>
      <c r="AZ211" s="131"/>
      <c r="BA211" s="131"/>
      <c r="BB211" s="131"/>
      <c r="BC211" s="131"/>
      <c r="BD211" s="131"/>
      <c r="BE211" s="131"/>
      <c r="BF211" s="131"/>
      <c r="BG211" s="131"/>
      <c r="BH211" s="131"/>
      <c r="BI211" s="131"/>
      <c r="BJ211" s="131"/>
      <c r="BK211" s="131"/>
      <c r="BL211" s="131"/>
      <c r="BM211" s="131"/>
      <c r="BN211" s="131"/>
      <c r="BO211" s="131"/>
      <c r="BP211" s="131"/>
      <c r="BQ211" s="131"/>
      <c r="BR211" s="131"/>
      <c r="BS211" s="131"/>
      <c r="BT211" s="131"/>
      <c r="BU211" s="131"/>
      <c r="BV211" s="131"/>
      <c r="BW211" s="131"/>
      <c r="BX211" s="131"/>
      <c r="BY211" s="131"/>
      <c r="BZ211" s="131"/>
      <c r="CA211" s="131"/>
      <c r="CB211" s="131"/>
      <c r="CC211" s="131"/>
      <c r="CD211" s="131"/>
      <c r="CE211" s="131"/>
      <c r="CF211" s="131"/>
      <c r="CG211" s="131"/>
      <c r="CH211" s="131"/>
      <c r="CI211" s="131"/>
      <c r="CJ211" s="131"/>
      <c r="CK211" s="131"/>
      <c r="CL211" s="131"/>
      <c r="CM211" s="131"/>
      <c r="CN211" s="131"/>
      <c r="CO211" s="131"/>
      <c r="CP211" s="131"/>
      <c r="CQ211" s="131"/>
      <c r="CR211" s="131"/>
      <c r="CS211" s="131"/>
      <c r="CT211" s="131"/>
      <c r="CU211" s="131"/>
      <c r="CV211" s="131"/>
      <c r="CW211" s="131"/>
      <c r="CX211" s="132"/>
    </row>
    <row r="212" spans="2:102">
      <c r="B212" s="133"/>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c r="BC212" s="135"/>
      <c r="BD212" s="135"/>
      <c r="BE212" s="135"/>
      <c r="BF212" s="135"/>
      <c r="BG212" s="135"/>
      <c r="BH212" s="135"/>
      <c r="BI212" s="135"/>
      <c r="BJ212" s="135"/>
      <c r="BK212" s="135"/>
      <c r="BL212" s="135"/>
      <c r="BM212" s="135"/>
      <c r="BN212" s="135"/>
      <c r="BO212" s="135"/>
      <c r="BP212" s="135"/>
      <c r="BQ212" s="135"/>
      <c r="BR212" s="135"/>
      <c r="BS212" s="135"/>
      <c r="BT212" s="135"/>
      <c r="BU212" s="135"/>
      <c r="BV212" s="135"/>
      <c r="BW212" s="135"/>
      <c r="BX212" s="135"/>
      <c r="BY212" s="135"/>
      <c r="BZ212" s="135"/>
      <c r="CA212" s="135"/>
      <c r="CB212" s="135"/>
      <c r="CC212" s="135"/>
      <c r="CD212" s="135"/>
      <c r="CE212" s="135"/>
      <c r="CF212" s="135"/>
      <c r="CG212" s="135"/>
      <c r="CH212" s="135"/>
      <c r="CI212" s="135"/>
      <c r="CJ212" s="135"/>
      <c r="CK212" s="135"/>
      <c r="CL212" s="135"/>
      <c r="CM212" s="135"/>
      <c r="CN212" s="135"/>
      <c r="CO212" s="135"/>
      <c r="CP212" s="135"/>
      <c r="CQ212" s="135"/>
      <c r="CR212" s="135"/>
      <c r="CS212" s="135"/>
      <c r="CT212" s="135"/>
      <c r="CU212" s="135"/>
      <c r="CV212" s="135"/>
      <c r="CW212" s="135"/>
      <c r="CX212" s="136"/>
    </row>
    <row r="213" spans="2:102">
      <c r="B213" s="133"/>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c r="AC213" s="135"/>
      <c r="AD213" s="135"/>
      <c r="AE213" s="135"/>
      <c r="AF213" s="135"/>
      <c r="AG213" s="135"/>
      <c r="AH213" s="135"/>
      <c r="AI213" s="135"/>
      <c r="AJ213" s="135"/>
      <c r="AK213" s="135"/>
      <c r="AL213" s="135"/>
      <c r="AM213" s="135"/>
      <c r="AN213" s="135"/>
      <c r="AO213" s="135"/>
      <c r="AP213" s="135"/>
      <c r="AQ213" s="135"/>
      <c r="AR213" s="135"/>
      <c r="AS213" s="135"/>
      <c r="AT213" s="135"/>
      <c r="AU213" s="135"/>
      <c r="AV213" s="135"/>
      <c r="AW213" s="135"/>
      <c r="AX213" s="135"/>
      <c r="AY213" s="135"/>
      <c r="AZ213" s="135"/>
      <c r="BA213" s="135"/>
      <c r="BB213" s="135"/>
      <c r="BC213" s="135"/>
      <c r="BD213" s="135"/>
      <c r="BE213" s="135"/>
      <c r="BF213" s="135"/>
      <c r="BG213" s="135"/>
      <c r="BH213" s="135"/>
      <c r="BI213" s="135"/>
      <c r="BJ213" s="135"/>
      <c r="BK213" s="135"/>
      <c r="BL213" s="135"/>
      <c r="BM213" s="135"/>
      <c r="BN213" s="135"/>
      <c r="BO213" s="135"/>
      <c r="BP213" s="135"/>
      <c r="BQ213" s="135"/>
      <c r="BR213" s="135"/>
      <c r="BS213" s="135"/>
      <c r="BT213" s="135"/>
      <c r="BU213" s="135"/>
      <c r="BV213" s="135"/>
      <c r="BW213" s="135"/>
      <c r="BX213" s="135"/>
      <c r="BY213" s="135"/>
      <c r="BZ213" s="135"/>
      <c r="CA213" s="135"/>
      <c r="CB213" s="135"/>
      <c r="CC213" s="135"/>
      <c r="CD213" s="135"/>
      <c r="CE213" s="135"/>
      <c r="CF213" s="135"/>
      <c r="CG213" s="135"/>
      <c r="CH213" s="135"/>
      <c r="CI213" s="135"/>
      <c r="CJ213" s="135"/>
      <c r="CK213" s="135"/>
      <c r="CL213" s="135"/>
      <c r="CM213" s="135"/>
      <c r="CN213" s="135"/>
      <c r="CO213" s="135"/>
      <c r="CP213" s="135"/>
      <c r="CQ213" s="135"/>
      <c r="CR213" s="135"/>
      <c r="CS213" s="135"/>
      <c r="CT213" s="135"/>
      <c r="CU213" s="135"/>
      <c r="CV213" s="135"/>
      <c r="CW213" s="135"/>
      <c r="CX213" s="136"/>
    </row>
    <row r="214" spans="2:102">
      <c r="B214" s="133"/>
      <c r="C214" s="135"/>
      <c r="D214" s="135"/>
      <c r="E214" s="135"/>
      <c r="F214" s="135"/>
      <c r="G214" s="135"/>
      <c r="H214" s="135" t="s">
        <v>111</v>
      </c>
      <c r="I214" s="135"/>
      <c r="J214" s="135"/>
      <c r="K214" s="135"/>
      <c r="L214" s="135"/>
      <c r="M214" s="135"/>
      <c r="N214" s="135" t="s">
        <v>145</v>
      </c>
      <c r="O214" s="135"/>
      <c r="P214" s="135"/>
      <c r="Q214" s="135"/>
      <c r="R214" s="135"/>
      <c r="S214" s="135"/>
      <c r="T214" s="135"/>
      <c r="U214" s="135"/>
      <c r="V214" s="135"/>
      <c r="W214" s="135"/>
      <c r="X214" s="135"/>
      <c r="Y214" s="135"/>
      <c r="Z214" s="135"/>
      <c r="AA214" s="135"/>
      <c r="AB214" s="135"/>
      <c r="AC214" s="135"/>
      <c r="AD214" s="135"/>
      <c r="AE214" s="135"/>
      <c r="AF214" s="135"/>
      <c r="AG214" s="135"/>
      <c r="AH214" s="135"/>
      <c r="AI214" s="135"/>
      <c r="AJ214" s="135"/>
      <c r="AK214" s="135"/>
      <c r="AL214" s="135"/>
      <c r="AM214" s="135"/>
      <c r="AN214" s="135"/>
      <c r="AO214" s="135"/>
      <c r="AP214" s="135"/>
      <c r="AQ214" s="135"/>
      <c r="AR214" s="135"/>
      <c r="AS214" s="135"/>
      <c r="AT214" s="135"/>
      <c r="AU214" s="135"/>
      <c r="AV214" s="135"/>
      <c r="AW214" s="135"/>
      <c r="AX214" s="135"/>
      <c r="AY214" s="135"/>
      <c r="AZ214" s="135"/>
      <c r="BA214" s="135"/>
      <c r="BB214" s="135"/>
      <c r="BC214" s="135"/>
      <c r="BD214" s="135"/>
      <c r="BE214" s="135"/>
      <c r="BF214" s="135"/>
      <c r="BG214" s="135"/>
      <c r="BH214" s="135"/>
      <c r="BI214" s="135"/>
      <c r="BJ214" s="135"/>
      <c r="BK214" s="135"/>
      <c r="BL214" s="135"/>
      <c r="BM214" s="135"/>
      <c r="BN214" s="135"/>
      <c r="BO214" s="135"/>
      <c r="BP214" s="135"/>
      <c r="BQ214" s="135"/>
      <c r="BR214" s="135"/>
      <c r="BS214" s="135"/>
      <c r="BT214" s="135"/>
      <c r="BU214" s="135"/>
      <c r="BV214" s="135"/>
      <c r="BW214" s="135"/>
      <c r="BX214" s="135"/>
      <c r="BY214" s="135"/>
      <c r="BZ214" s="135"/>
      <c r="CA214" s="135"/>
      <c r="CB214" s="135"/>
      <c r="CC214" s="135"/>
      <c r="CD214" s="135"/>
      <c r="CE214" s="135"/>
      <c r="CF214" s="135"/>
      <c r="CG214" s="135"/>
      <c r="CH214" s="135"/>
      <c r="CI214" s="135"/>
      <c r="CJ214" s="135"/>
      <c r="CK214" s="135"/>
      <c r="CL214" s="135"/>
      <c r="CM214" s="135"/>
      <c r="CN214" s="135"/>
      <c r="CO214" s="135"/>
      <c r="CP214" s="135"/>
      <c r="CQ214" s="135"/>
      <c r="CR214" s="135"/>
      <c r="CS214" s="135"/>
      <c r="CT214" s="135"/>
      <c r="CU214" s="135"/>
      <c r="CV214" s="135"/>
      <c r="CW214" s="135"/>
      <c r="CX214" s="136"/>
    </row>
    <row r="215" spans="2:102">
      <c r="B215" s="133"/>
      <c r="C215" s="135"/>
      <c r="D215" s="135"/>
      <c r="E215" s="135"/>
      <c r="F215" s="135"/>
      <c r="G215" s="135"/>
      <c r="H215" s="135"/>
      <c r="I215" s="135"/>
      <c r="J215" s="135"/>
      <c r="K215" s="135"/>
      <c r="L215" s="135"/>
      <c r="M215" s="135"/>
      <c r="N215" s="103" t="s">
        <v>146</v>
      </c>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c r="BC215" s="135"/>
      <c r="BD215" s="135"/>
      <c r="BE215" s="135"/>
      <c r="BF215" s="135"/>
      <c r="BG215" s="135"/>
      <c r="BH215" s="135"/>
      <c r="BI215" s="135"/>
      <c r="BJ215" s="135"/>
      <c r="BK215" s="135"/>
      <c r="BL215" s="135"/>
      <c r="BM215" s="135"/>
      <c r="BN215" s="135"/>
      <c r="BO215" s="135"/>
      <c r="BP215" s="135"/>
      <c r="BQ215" s="135"/>
      <c r="BR215" s="135"/>
      <c r="BS215" s="135"/>
      <c r="BT215" s="135"/>
      <c r="BU215" s="135"/>
      <c r="BV215" s="135"/>
      <c r="BW215" s="135"/>
      <c r="BX215" s="135"/>
      <c r="BY215" s="135"/>
      <c r="BZ215" s="135"/>
      <c r="CA215" s="135"/>
      <c r="CB215" s="135"/>
      <c r="CC215" s="135"/>
      <c r="CD215" s="135"/>
      <c r="CE215" s="135"/>
      <c r="CF215" s="135"/>
      <c r="CG215" s="135"/>
      <c r="CH215" s="135"/>
      <c r="CI215" s="135"/>
      <c r="CJ215" s="135"/>
      <c r="CK215" s="135"/>
      <c r="CL215" s="135"/>
      <c r="CM215" s="135"/>
      <c r="CN215" s="135"/>
      <c r="CO215" s="135"/>
      <c r="CP215" s="135"/>
      <c r="CQ215" s="135"/>
      <c r="CR215" s="135"/>
      <c r="CS215" s="135"/>
      <c r="CT215" s="135"/>
      <c r="CU215" s="135"/>
      <c r="CV215" s="135"/>
      <c r="CW215" s="135"/>
      <c r="CX215" s="136"/>
    </row>
    <row r="216" spans="2:102">
      <c r="B216" s="133"/>
      <c r="C216" s="135"/>
      <c r="D216" s="135"/>
      <c r="E216" s="135"/>
      <c r="F216" s="135"/>
      <c r="G216" s="135"/>
      <c r="H216" s="135"/>
      <c r="I216" s="135"/>
      <c r="J216" s="135"/>
      <c r="K216" s="135"/>
      <c r="L216" s="135"/>
      <c r="M216" s="135"/>
      <c r="O216" s="135"/>
      <c r="P216" s="135"/>
      <c r="Q216" s="135"/>
      <c r="R216" s="135"/>
      <c r="S216" s="135"/>
      <c r="T216" s="135"/>
      <c r="U216" s="135"/>
      <c r="V216" s="135"/>
      <c r="W216" s="135"/>
      <c r="X216" s="135"/>
      <c r="Y216" s="135"/>
      <c r="Z216" s="135"/>
      <c r="AA216" s="135"/>
      <c r="AB216" s="135"/>
      <c r="AC216" s="135"/>
      <c r="AD216" s="135"/>
      <c r="AE216" s="135"/>
      <c r="AF216" s="135"/>
      <c r="AG216" s="135"/>
      <c r="AH216" s="135"/>
      <c r="AI216" s="135"/>
      <c r="AJ216" s="135"/>
      <c r="AK216" s="135"/>
      <c r="AL216" s="135"/>
      <c r="AM216" s="135"/>
      <c r="AN216" s="135"/>
      <c r="AO216" s="135"/>
      <c r="AP216" s="135"/>
      <c r="AQ216" s="135"/>
      <c r="AR216" s="135"/>
      <c r="AS216" s="135"/>
      <c r="AT216" s="135"/>
      <c r="AU216" s="135"/>
      <c r="AV216" s="135"/>
      <c r="AW216" s="135"/>
      <c r="AX216" s="135"/>
      <c r="AY216" s="135"/>
      <c r="AZ216" s="135"/>
      <c r="BA216" s="135"/>
      <c r="BB216" s="135"/>
      <c r="BC216" s="135"/>
      <c r="BD216" s="135"/>
      <c r="BE216" s="135"/>
      <c r="BF216" s="135"/>
      <c r="BG216" s="135"/>
      <c r="BH216" s="135"/>
      <c r="BI216" s="135"/>
      <c r="BJ216" s="135"/>
      <c r="BK216" s="135"/>
      <c r="BL216" s="135"/>
      <c r="BM216" s="135"/>
      <c r="BN216" s="135"/>
      <c r="BO216" s="135"/>
      <c r="BP216" s="135"/>
      <c r="BQ216" s="135"/>
      <c r="BR216" s="135"/>
      <c r="BS216" s="135"/>
      <c r="BT216" s="135"/>
      <c r="BU216" s="135"/>
      <c r="BV216" s="135"/>
      <c r="BW216" s="135"/>
      <c r="BX216" s="135"/>
      <c r="BY216" s="135"/>
      <c r="BZ216" s="135"/>
      <c r="CA216" s="135"/>
      <c r="CB216" s="135"/>
      <c r="CC216" s="135"/>
      <c r="CD216" s="135"/>
      <c r="CE216" s="135"/>
      <c r="CF216" s="135"/>
      <c r="CG216" s="135"/>
      <c r="CH216" s="135"/>
      <c r="CI216" s="135"/>
      <c r="CJ216" s="135"/>
      <c r="CK216" s="135"/>
      <c r="CL216" s="135"/>
      <c r="CM216" s="135"/>
      <c r="CN216" s="135"/>
      <c r="CO216" s="135"/>
      <c r="CP216" s="135"/>
      <c r="CQ216" s="135"/>
      <c r="CR216" s="135"/>
      <c r="CS216" s="135"/>
      <c r="CT216" s="135"/>
      <c r="CU216" s="135"/>
      <c r="CV216" s="135"/>
      <c r="CW216" s="135"/>
      <c r="CX216" s="136"/>
    </row>
    <row r="217" spans="2:102">
      <c r="B217" s="133"/>
      <c r="C217" s="135"/>
      <c r="D217" s="135"/>
      <c r="E217" s="135"/>
      <c r="F217" s="135"/>
      <c r="G217" s="135"/>
      <c r="H217" s="135"/>
      <c r="I217" s="135"/>
      <c r="J217" s="135"/>
      <c r="K217" s="135"/>
      <c r="L217" s="135"/>
      <c r="M217" s="135"/>
      <c r="N217" s="138"/>
      <c r="O217" s="135"/>
      <c r="P217" s="135"/>
      <c r="Q217" s="135"/>
      <c r="R217" s="135"/>
      <c r="S217" s="135"/>
      <c r="T217" s="135"/>
      <c r="U217" s="135"/>
      <c r="V217" s="135"/>
      <c r="W217" s="135"/>
      <c r="X217" s="135"/>
      <c r="Y217" s="135"/>
      <c r="Z217" s="135"/>
      <c r="AA217" s="135"/>
      <c r="AB217" s="135"/>
      <c r="AC217" s="135"/>
      <c r="AD217" s="135"/>
      <c r="AE217" s="135"/>
      <c r="AF217" s="135"/>
      <c r="AG217" s="135"/>
      <c r="AH217" s="135"/>
      <c r="AI217" s="135"/>
      <c r="AJ217" s="135"/>
      <c r="AK217" s="135"/>
      <c r="AL217" s="135"/>
      <c r="AM217" s="135"/>
      <c r="AN217" s="135"/>
      <c r="AO217" s="135"/>
      <c r="AP217" s="135"/>
      <c r="AQ217" s="135"/>
      <c r="AR217" s="135"/>
      <c r="AS217" s="135"/>
      <c r="AT217" s="135"/>
      <c r="AU217" s="135"/>
      <c r="AV217" s="135"/>
      <c r="AW217" s="135"/>
      <c r="AX217" s="135"/>
      <c r="AY217" s="135"/>
      <c r="AZ217" s="135"/>
      <c r="BA217" s="135"/>
      <c r="BB217" s="135"/>
      <c r="BC217" s="135"/>
      <c r="BD217" s="135"/>
      <c r="BE217" s="135"/>
      <c r="BF217" s="135"/>
      <c r="BG217" s="135"/>
      <c r="BH217" s="135"/>
      <c r="BI217" s="135"/>
      <c r="BJ217" s="135"/>
      <c r="BK217" s="135"/>
      <c r="BL217" s="135"/>
      <c r="BM217" s="135"/>
      <c r="BN217" s="135"/>
      <c r="BO217" s="135"/>
      <c r="BP217" s="135"/>
      <c r="BQ217" s="135"/>
      <c r="BR217" s="135"/>
      <c r="BS217" s="135"/>
      <c r="BT217" s="135"/>
      <c r="BU217" s="135"/>
      <c r="BV217" s="135"/>
      <c r="BW217" s="135"/>
      <c r="BX217" s="135"/>
      <c r="BY217" s="135"/>
      <c r="BZ217" s="135"/>
      <c r="CA217" s="135"/>
      <c r="CB217" s="135"/>
      <c r="CC217" s="135"/>
      <c r="CD217" s="135"/>
      <c r="CE217" s="135"/>
      <c r="CF217" s="135"/>
      <c r="CG217" s="135"/>
      <c r="CH217" s="135"/>
      <c r="CI217" s="135"/>
      <c r="CJ217" s="135"/>
      <c r="CK217" s="135"/>
      <c r="CL217" s="135"/>
      <c r="CM217" s="135"/>
      <c r="CN217" s="135"/>
      <c r="CO217" s="135"/>
      <c r="CP217" s="135"/>
      <c r="CQ217" s="135"/>
      <c r="CR217" s="135"/>
      <c r="CS217" s="135"/>
      <c r="CT217" s="135"/>
      <c r="CU217" s="135"/>
      <c r="CV217" s="135"/>
      <c r="CW217" s="135"/>
      <c r="CX217" s="136"/>
    </row>
    <row r="218" spans="2:102">
      <c r="B218" s="133"/>
      <c r="C218" s="135"/>
      <c r="D218" s="135"/>
      <c r="E218" s="135"/>
      <c r="F218" s="135"/>
      <c r="G218" s="135"/>
      <c r="H218" s="135"/>
      <c r="I218" s="135"/>
      <c r="J218" s="135"/>
      <c r="K218" s="135"/>
      <c r="L218" s="135"/>
      <c r="M218" s="135"/>
      <c r="N218" s="138" t="s">
        <v>123</v>
      </c>
      <c r="O218" s="135"/>
      <c r="P218" s="135"/>
      <c r="Q218" s="135"/>
      <c r="R218" s="135"/>
      <c r="S218" s="135"/>
      <c r="T218" s="135"/>
      <c r="U218" s="135"/>
      <c r="V218" s="135"/>
      <c r="W218" s="144" t="s">
        <v>124</v>
      </c>
      <c r="X218" s="135"/>
      <c r="Y218" s="135"/>
      <c r="Z218" s="135"/>
      <c r="AA218" s="135"/>
      <c r="AB218" s="135"/>
      <c r="AC218" s="135"/>
      <c r="AD218" s="135"/>
      <c r="AE218" s="135"/>
      <c r="AF218" s="135"/>
      <c r="AG218" s="135"/>
      <c r="AH218" s="135"/>
      <c r="AI218" s="135"/>
      <c r="AJ218" s="135"/>
      <c r="AK218" s="135"/>
      <c r="AL218" s="135"/>
      <c r="AM218" s="135"/>
      <c r="AN218" s="135"/>
      <c r="AO218" s="135"/>
      <c r="AP218" s="135"/>
      <c r="AQ218" s="135"/>
      <c r="AR218" s="135"/>
      <c r="AS218" s="135"/>
      <c r="AT218" s="135"/>
      <c r="AU218" s="135"/>
      <c r="AV218" s="135"/>
      <c r="AW218" s="135"/>
      <c r="AX218" s="135"/>
      <c r="AY218" s="135"/>
      <c r="AZ218" s="135"/>
      <c r="BA218" s="135"/>
      <c r="BB218" s="135"/>
      <c r="BC218" s="135"/>
      <c r="BD218" s="135"/>
      <c r="BE218" s="135"/>
      <c r="BF218" s="135"/>
      <c r="BG218" s="135"/>
      <c r="BH218" s="135"/>
      <c r="BI218" s="135"/>
      <c r="BJ218" s="135"/>
      <c r="BK218" s="135"/>
      <c r="BL218" s="135"/>
      <c r="BM218" s="135"/>
      <c r="BN218" s="135"/>
      <c r="BO218" s="135"/>
      <c r="BP218" s="135"/>
      <c r="BQ218" s="135"/>
      <c r="BR218" s="135"/>
      <c r="BS218" s="135"/>
      <c r="BT218" s="135"/>
      <c r="BU218" s="135"/>
      <c r="BV218" s="135"/>
      <c r="BW218" s="135"/>
      <c r="BX218" s="135"/>
      <c r="BY218" s="135"/>
      <c r="BZ218" s="135"/>
      <c r="CA218" s="135"/>
      <c r="CB218" s="135"/>
      <c r="CC218" s="135"/>
      <c r="CD218" s="135"/>
      <c r="CE218" s="135"/>
      <c r="CF218" s="135"/>
      <c r="CG218" s="135"/>
      <c r="CH218" s="135"/>
      <c r="CI218" s="135"/>
      <c r="CJ218" s="135"/>
      <c r="CK218" s="135"/>
      <c r="CL218" s="135"/>
      <c r="CM218" s="135"/>
      <c r="CN218" s="135"/>
      <c r="CO218" s="135"/>
      <c r="CP218" s="135"/>
      <c r="CQ218" s="135"/>
      <c r="CR218" s="135"/>
      <c r="CS218" s="135"/>
      <c r="CT218" s="135"/>
      <c r="CU218" s="135"/>
      <c r="CV218" s="135"/>
      <c r="CW218" s="135"/>
      <c r="CX218" s="136"/>
    </row>
    <row r="219" spans="2:102">
      <c r="B219" s="133"/>
      <c r="C219" s="135"/>
      <c r="D219" s="135"/>
      <c r="E219" s="135"/>
      <c r="F219" s="135"/>
      <c r="G219" s="135"/>
      <c r="H219" s="135"/>
      <c r="I219" s="135"/>
      <c r="J219" s="135"/>
      <c r="K219" s="135"/>
      <c r="L219" s="135"/>
      <c r="M219" s="135"/>
      <c r="N219" s="138" t="s">
        <v>125</v>
      </c>
      <c r="O219" s="135"/>
      <c r="P219" s="135"/>
      <c r="Q219" s="135"/>
      <c r="R219" s="135"/>
      <c r="S219" s="135"/>
      <c r="T219" s="135"/>
      <c r="U219" s="135"/>
      <c r="V219" s="135"/>
      <c r="W219" s="135"/>
      <c r="X219" s="135"/>
      <c r="Y219" s="135"/>
      <c r="Z219" s="135"/>
      <c r="AA219" s="135"/>
      <c r="AB219" s="135"/>
      <c r="AC219" s="135"/>
      <c r="AD219" s="135"/>
      <c r="AE219" s="135"/>
      <c r="AF219" s="135"/>
      <c r="AG219" s="135"/>
      <c r="AH219" s="135"/>
      <c r="AI219" s="135"/>
      <c r="AJ219" s="135"/>
      <c r="AK219" s="135"/>
      <c r="AL219" s="135"/>
      <c r="AM219" s="135"/>
      <c r="AN219" s="135"/>
      <c r="AO219" s="135"/>
      <c r="AP219" s="135"/>
      <c r="AQ219" s="135"/>
      <c r="AR219" s="135"/>
      <c r="AS219" s="135"/>
      <c r="AT219" s="135"/>
      <c r="AU219" s="135"/>
      <c r="AV219" s="135"/>
      <c r="AW219" s="135"/>
      <c r="AX219" s="135"/>
      <c r="AY219" s="135"/>
      <c r="AZ219" s="135"/>
      <c r="BA219" s="135"/>
      <c r="BB219" s="135"/>
      <c r="BC219" s="135"/>
      <c r="BD219" s="135"/>
      <c r="BE219" s="135"/>
      <c r="BF219" s="135"/>
      <c r="BG219" s="135"/>
      <c r="BH219" s="135"/>
      <c r="BI219" s="135"/>
      <c r="BJ219" s="135"/>
      <c r="BK219" s="135"/>
      <c r="BL219" s="135"/>
      <c r="BM219" s="135"/>
      <c r="BN219" s="135"/>
      <c r="BO219" s="135"/>
      <c r="BP219" s="135"/>
      <c r="BQ219" s="135"/>
      <c r="BR219" s="135"/>
      <c r="BS219" s="135"/>
      <c r="BT219" s="135"/>
      <c r="BU219" s="135"/>
      <c r="BV219" s="135"/>
      <c r="BW219" s="135"/>
      <c r="BX219" s="135"/>
      <c r="BY219" s="135"/>
      <c r="BZ219" s="135"/>
      <c r="CA219" s="135"/>
      <c r="CB219" s="135"/>
      <c r="CC219" s="135"/>
      <c r="CD219" s="135"/>
      <c r="CE219" s="135"/>
      <c r="CF219" s="135"/>
      <c r="CG219" s="135"/>
      <c r="CH219" s="135"/>
      <c r="CI219" s="135"/>
      <c r="CJ219" s="135"/>
      <c r="CK219" s="135"/>
      <c r="CL219" s="135"/>
      <c r="CM219" s="135"/>
      <c r="CN219" s="135"/>
      <c r="CO219" s="135"/>
      <c r="CP219" s="135"/>
      <c r="CQ219" s="135"/>
      <c r="CR219" s="135"/>
      <c r="CS219" s="135"/>
      <c r="CT219" s="135"/>
      <c r="CU219" s="135"/>
      <c r="CV219" s="135"/>
      <c r="CW219" s="135"/>
      <c r="CX219" s="136"/>
    </row>
    <row r="220" spans="2:102">
      <c r="B220" s="133"/>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c r="AC220" s="135"/>
      <c r="AD220" s="135"/>
      <c r="AE220" s="135"/>
      <c r="AF220" s="135"/>
      <c r="AG220" s="135"/>
      <c r="AH220" s="135"/>
      <c r="AI220" s="135"/>
      <c r="AJ220" s="135"/>
      <c r="AK220" s="135"/>
      <c r="AL220" s="135"/>
      <c r="AM220" s="135"/>
      <c r="AN220" s="135"/>
      <c r="AO220" s="135"/>
      <c r="AP220" s="135"/>
      <c r="AQ220" s="135"/>
      <c r="AR220" s="135"/>
      <c r="AS220" s="135"/>
      <c r="AT220" s="135"/>
      <c r="AU220" s="135"/>
      <c r="AV220" s="135"/>
      <c r="AW220" s="135"/>
      <c r="AX220" s="135"/>
      <c r="AY220" s="135"/>
      <c r="AZ220" s="135"/>
      <c r="BA220" s="135"/>
      <c r="BB220" s="135"/>
      <c r="BC220" s="135"/>
      <c r="BD220" s="135"/>
      <c r="BE220" s="135"/>
      <c r="BF220" s="135"/>
      <c r="BG220" s="135"/>
      <c r="BH220" s="135"/>
      <c r="BI220" s="135"/>
      <c r="BJ220" s="135"/>
      <c r="BK220" s="135"/>
      <c r="BL220" s="135"/>
      <c r="BM220" s="135"/>
      <c r="BN220" s="135"/>
      <c r="BO220" s="135"/>
      <c r="BP220" s="135"/>
      <c r="BQ220" s="135"/>
      <c r="BR220" s="135"/>
      <c r="BS220" s="135"/>
      <c r="BT220" s="135"/>
      <c r="BU220" s="135"/>
      <c r="BV220" s="135"/>
      <c r="BW220" s="135"/>
      <c r="BX220" s="135"/>
      <c r="BY220" s="135"/>
      <c r="BZ220" s="135"/>
      <c r="CA220" s="135"/>
      <c r="CB220" s="135"/>
      <c r="CC220" s="135"/>
      <c r="CD220" s="135"/>
      <c r="CE220" s="135"/>
      <c r="CF220" s="135"/>
      <c r="CG220" s="135"/>
      <c r="CH220" s="135"/>
      <c r="CI220" s="135"/>
      <c r="CJ220" s="135"/>
      <c r="CK220" s="135"/>
      <c r="CL220" s="135"/>
      <c r="CM220" s="135"/>
      <c r="CN220" s="135"/>
      <c r="CO220" s="135"/>
      <c r="CP220" s="135"/>
      <c r="CQ220" s="135"/>
      <c r="CR220" s="135"/>
      <c r="CS220" s="135"/>
      <c r="CT220" s="135"/>
      <c r="CU220" s="135"/>
      <c r="CV220" s="135"/>
      <c r="CW220" s="135"/>
      <c r="CX220" s="136"/>
    </row>
    <row r="221" spans="2:102">
      <c r="B221" s="133"/>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c r="AC221" s="135"/>
      <c r="AD221" s="135"/>
      <c r="AE221" s="135"/>
      <c r="AF221" s="135"/>
      <c r="AG221" s="135"/>
      <c r="AH221" s="135"/>
      <c r="AI221" s="135"/>
      <c r="AJ221" s="135"/>
      <c r="AK221" s="135"/>
      <c r="AL221" s="135"/>
      <c r="AM221" s="135"/>
      <c r="AN221" s="135"/>
      <c r="AO221" s="135"/>
      <c r="AP221" s="135"/>
      <c r="AQ221" s="135"/>
      <c r="AR221" s="135"/>
      <c r="AS221" s="135"/>
      <c r="AT221" s="135"/>
      <c r="AU221" s="135"/>
      <c r="AV221" s="135"/>
      <c r="AW221" s="135"/>
      <c r="AX221" s="135"/>
      <c r="AY221" s="135"/>
      <c r="AZ221" s="135"/>
      <c r="BA221" s="135"/>
      <c r="BB221" s="135"/>
      <c r="BC221" s="135"/>
      <c r="BD221" s="135"/>
      <c r="BE221" s="135"/>
      <c r="BF221" s="135"/>
      <c r="BG221" s="135"/>
      <c r="BH221" s="135"/>
      <c r="BI221" s="135"/>
      <c r="BJ221" s="135"/>
      <c r="BK221" s="135"/>
      <c r="BL221" s="135"/>
      <c r="BM221" s="135"/>
      <c r="BN221" s="135"/>
      <c r="BO221" s="135"/>
      <c r="BP221" s="135"/>
      <c r="BQ221" s="135"/>
      <c r="BR221" s="135"/>
      <c r="BS221" s="135"/>
      <c r="BT221" s="135"/>
      <c r="BU221" s="135"/>
      <c r="BV221" s="135"/>
      <c r="BW221" s="135"/>
      <c r="BX221" s="135"/>
      <c r="BY221" s="135"/>
      <c r="BZ221" s="135"/>
      <c r="CA221" s="135"/>
      <c r="CB221" s="135"/>
      <c r="CC221" s="135"/>
      <c r="CD221" s="135"/>
      <c r="CE221" s="135"/>
      <c r="CF221" s="135"/>
      <c r="CG221" s="135"/>
      <c r="CH221" s="135"/>
      <c r="CI221" s="135"/>
      <c r="CJ221" s="135"/>
      <c r="CK221" s="135"/>
      <c r="CL221" s="135"/>
      <c r="CM221" s="135"/>
      <c r="CN221" s="135"/>
      <c r="CO221" s="135"/>
      <c r="CP221" s="135"/>
      <c r="CQ221" s="135"/>
      <c r="CR221" s="135"/>
      <c r="CS221" s="135"/>
      <c r="CT221" s="135"/>
      <c r="CU221" s="135"/>
      <c r="CV221" s="135"/>
      <c r="CW221" s="135"/>
      <c r="CX221" s="136"/>
    </row>
    <row r="222" spans="2:102">
      <c r="B222" s="133"/>
      <c r="C222" s="135"/>
      <c r="D222" s="135"/>
      <c r="E222" s="135"/>
      <c r="F222" s="135"/>
      <c r="G222" s="135"/>
      <c r="H222" s="135"/>
      <c r="I222" s="135"/>
      <c r="J222" s="135"/>
      <c r="K222" s="135"/>
      <c r="L222" s="135"/>
      <c r="M222" s="135"/>
      <c r="N222" s="138" t="s">
        <v>126</v>
      </c>
      <c r="O222" s="135"/>
      <c r="P222" s="135"/>
      <c r="Q222" s="135"/>
      <c r="R222" s="135"/>
      <c r="S222" s="135"/>
      <c r="T222" s="144"/>
      <c r="U222" s="135"/>
      <c r="V222" s="135"/>
      <c r="W222" s="144" t="s">
        <v>124</v>
      </c>
      <c r="X222" s="135"/>
      <c r="Y222" s="135"/>
      <c r="Z222" s="135"/>
      <c r="AA222" s="135"/>
      <c r="AB222" s="135"/>
      <c r="AC222" s="135"/>
      <c r="AD222" s="135"/>
      <c r="AE222" s="135"/>
      <c r="AF222" s="135"/>
      <c r="AG222" s="135"/>
      <c r="AH222" s="135"/>
      <c r="AI222" s="135"/>
      <c r="AJ222" s="135"/>
      <c r="AK222" s="135"/>
      <c r="AL222" s="135"/>
      <c r="AM222" s="135"/>
      <c r="AN222" s="135"/>
      <c r="AO222" s="135"/>
      <c r="AP222" s="135"/>
      <c r="AQ222" s="135"/>
      <c r="AR222" s="135"/>
      <c r="AS222" s="135"/>
      <c r="AT222" s="135"/>
      <c r="AU222" s="135"/>
      <c r="AV222" s="135"/>
      <c r="AW222" s="135"/>
      <c r="AX222" s="135"/>
      <c r="AY222" s="135"/>
      <c r="AZ222" s="135"/>
      <c r="BA222" s="135"/>
      <c r="BB222" s="135"/>
      <c r="BC222" s="135"/>
      <c r="BD222" s="135"/>
      <c r="BE222" s="135"/>
      <c r="BF222" s="135"/>
      <c r="BG222" s="135"/>
      <c r="BH222" s="135"/>
      <c r="BI222" s="135"/>
      <c r="BJ222" s="135"/>
      <c r="BK222" s="135"/>
      <c r="BL222" s="135"/>
      <c r="BM222" s="135"/>
      <c r="BN222" s="135"/>
      <c r="BO222" s="135"/>
      <c r="BP222" s="135"/>
      <c r="BQ222" s="135"/>
      <c r="BR222" s="135"/>
      <c r="BS222" s="135"/>
      <c r="BT222" s="135"/>
      <c r="BU222" s="135"/>
      <c r="BV222" s="135"/>
      <c r="BW222" s="135"/>
      <c r="BX222" s="135"/>
      <c r="BY222" s="135"/>
      <c r="BZ222" s="135"/>
      <c r="CA222" s="135"/>
      <c r="CB222" s="135"/>
      <c r="CC222" s="135"/>
      <c r="CD222" s="135"/>
      <c r="CE222" s="135"/>
      <c r="CF222" s="135"/>
      <c r="CG222" s="135"/>
      <c r="CH222" s="135"/>
      <c r="CI222" s="135"/>
      <c r="CJ222" s="135"/>
      <c r="CK222" s="135"/>
      <c r="CL222" s="135"/>
      <c r="CM222" s="135"/>
      <c r="CN222" s="135"/>
      <c r="CO222" s="135"/>
      <c r="CP222" s="135"/>
      <c r="CQ222" s="135"/>
      <c r="CR222" s="135"/>
      <c r="CS222" s="135"/>
      <c r="CT222" s="135"/>
      <c r="CU222" s="135"/>
      <c r="CV222" s="135"/>
      <c r="CW222" s="135"/>
      <c r="CX222" s="136"/>
    </row>
    <row r="223" spans="2:102">
      <c r="B223" s="133"/>
      <c r="C223" s="135"/>
      <c r="D223" s="135"/>
      <c r="E223" s="135"/>
      <c r="F223" s="135"/>
      <c r="G223" s="135"/>
      <c r="H223" s="135"/>
      <c r="I223" s="135"/>
      <c r="J223" s="135"/>
      <c r="K223" s="135"/>
      <c r="L223" s="135"/>
      <c r="M223" s="135"/>
      <c r="N223" s="138" t="s">
        <v>125</v>
      </c>
      <c r="O223" s="135"/>
      <c r="P223" s="135"/>
      <c r="Q223" s="135"/>
      <c r="R223" s="135"/>
      <c r="S223" s="135"/>
      <c r="T223" s="135"/>
      <c r="U223" s="135"/>
      <c r="V223" s="135"/>
      <c r="W223" s="135"/>
      <c r="X223" s="135"/>
      <c r="Y223" s="135"/>
      <c r="Z223" s="135"/>
      <c r="AA223" s="135"/>
      <c r="AB223" s="135"/>
      <c r="AC223" s="135"/>
      <c r="AD223" s="135"/>
      <c r="AE223" s="135"/>
      <c r="AF223" s="135"/>
      <c r="AG223" s="135"/>
      <c r="AH223" s="135"/>
      <c r="AI223" s="135"/>
      <c r="AJ223" s="135"/>
      <c r="AK223" s="135"/>
      <c r="AL223" s="135"/>
      <c r="AM223" s="135"/>
      <c r="AN223" s="135"/>
      <c r="AO223" s="135"/>
      <c r="AP223" s="135"/>
      <c r="AQ223" s="135"/>
      <c r="AR223" s="135"/>
      <c r="AS223" s="135"/>
      <c r="AT223" s="135"/>
      <c r="AU223" s="135"/>
      <c r="AV223" s="135"/>
      <c r="AW223" s="135"/>
      <c r="AX223" s="135"/>
      <c r="AY223" s="135"/>
      <c r="AZ223" s="135"/>
      <c r="BA223" s="135"/>
      <c r="BB223" s="135"/>
      <c r="BC223" s="135"/>
      <c r="BD223" s="135"/>
      <c r="BE223" s="135"/>
      <c r="BF223" s="135"/>
      <c r="BG223" s="135"/>
      <c r="BH223" s="135"/>
      <c r="BI223" s="135"/>
      <c r="BJ223" s="135"/>
      <c r="BK223" s="135"/>
      <c r="BL223" s="135"/>
      <c r="BM223" s="135"/>
      <c r="BN223" s="135"/>
      <c r="BO223" s="135"/>
      <c r="BP223" s="135"/>
      <c r="BQ223" s="135"/>
      <c r="BR223" s="135"/>
      <c r="BS223" s="135"/>
      <c r="BT223" s="135"/>
      <c r="BU223" s="135"/>
      <c r="BV223" s="135"/>
      <c r="BW223" s="135"/>
      <c r="BX223" s="135"/>
      <c r="BY223" s="135"/>
      <c r="BZ223" s="135"/>
      <c r="CA223" s="135"/>
      <c r="CB223" s="135"/>
      <c r="CC223" s="135"/>
      <c r="CD223" s="135"/>
      <c r="CE223" s="135"/>
      <c r="CF223" s="135"/>
      <c r="CG223" s="135"/>
      <c r="CH223" s="135"/>
      <c r="CI223" s="135"/>
      <c r="CJ223" s="135"/>
      <c r="CK223" s="135"/>
      <c r="CL223" s="135"/>
      <c r="CM223" s="135"/>
      <c r="CN223" s="135"/>
      <c r="CO223" s="135"/>
      <c r="CP223" s="135"/>
      <c r="CQ223" s="135"/>
      <c r="CR223" s="135"/>
      <c r="CS223" s="135"/>
      <c r="CT223" s="135"/>
      <c r="CU223" s="135"/>
      <c r="CV223" s="135"/>
      <c r="CW223" s="135"/>
      <c r="CX223" s="136"/>
    </row>
    <row r="224" spans="2:102">
      <c r="B224" s="133"/>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c r="AB224" s="135"/>
      <c r="AC224" s="135"/>
      <c r="AD224" s="135"/>
      <c r="AE224" s="135"/>
      <c r="AF224" s="135"/>
      <c r="AG224" s="135"/>
      <c r="AH224" s="135"/>
      <c r="AI224" s="135"/>
      <c r="AJ224" s="135"/>
      <c r="AK224" s="135"/>
      <c r="AL224" s="135"/>
      <c r="AM224" s="135"/>
      <c r="AN224" s="135"/>
      <c r="AO224" s="135"/>
      <c r="AP224" s="135"/>
      <c r="AQ224" s="135"/>
      <c r="AR224" s="135"/>
      <c r="AS224" s="135"/>
      <c r="AT224" s="135"/>
      <c r="AU224" s="135"/>
      <c r="AV224" s="135"/>
      <c r="AW224" s="135"/>
      <c r="AX224" s="135"/>
      <c r="AY224" s="135"/>
      <c r="AZ224" s="135"/>
      <c r="BA224" s="135"/>
      <c r="BB224" s="135"/>
      <c r="BC224" s="135"/>
      <c r="BD224" s="135"/>
      <c r="BE224" s="135"/>
      <c r="BF224" s="135"/>
      <c r="BG224" s="135"/>
      <c r="BH224" s="135"/>
      <c r="BI224" s="135"/>
      <c r="BJ224" s="135"/>
      <c r="BK224" s="135"/>
      <c r="BL224" s="135"/>
      <c r="BM224" s="135"/>
      <c r="BN224" s="135"/>
      <c r="BO224" s="135"/>
      <c r="BP224" s="135"/>
      <c r="BQ224" s="135"/>
      <c r="BR224" s="135"/>
      <c r="BS224" s="135"/>
      <c r="BT224" s="135"/>
      <c r="BU224" s="135"/>
      <c r="BV224" s="135"/>
      <c r="BW224" s="135"/>
      <c r="BX224" s="135"/>
      <c r="BY224" s="135"/>
      <c r="BZ224" s="135"/>
      <c r="CA224" s="135"/>
      <c r="CB224" s="135"/>
      <c r="CC224" s="135"/>
      <c r="CD224" s="135"/>
      <c r="CE224" s="135"/>
      <c r="CF224" s="135"/>
      <c r="CG224" s="135"/>
      <c r="CH224" s="135"/>
      <c r="CI224" s="135"/>
      <c r="CJ224" s="135"/>
      <c r="CK224" s="135"/>
      <c r="CL224" s="135"/>
      <c r="CM224" s="135"/>
      <c r="CN224" s="135"/>
      <c r="CO224" s="135"/>
      <c r="CP224" s="135"/>
      <c r="CQ224" s="135"/>
      <c r="CR224" s="135"/>
      <c r="CS224" s="135"/>
      <c r="CT224" s="135"/>
      <c r="CU224" s="135"/>
      <c r="CV224" s="135"/>
      <c r="CW224" s="135"/>
      <c r="CX224" s="136"/>
    </row>
    <row r="225" spans="2:102">
      <c r="B225" s="133"/>
      <c r="C225" s="135"/>
      <c r="D225" s="135"/>
      <c r="E225" s="135"/>
      <c r="F225" s="135"/>
      <c r="G225" s="135"/>
      <c r="H225" s="135"/>
      <c r="I225" s="135"/>
      <c r="J225" s="135"/>
      <c r="K225" s="135"/>
      <c r="L225" s="135"/>
      <c r="M225" s="135"/>
      <c r="N225" s="138"/>
      <c r="O225" s="135"/>
      <c r="P225" s="135"/>
      <c r="Q225" s="135"/>
      <c r="R225" s="135"/>
      <c r="S225" s="135"/>
      <c r="T225" s="135"/>
      <c r="U225" s="135"/>
      <c r="V225" s="135"/>
      <c r="W225" s="135"/>
      <c r="X225" s="135"/>
      <c r="Y225" s="135"/>
      <c r="Z225" s="135"/>
      <c r="AA225" s="135"/>
      <c r="AB225" s="135"/>
      <c r="AC225" s="135"/>
      <c r="AD225" s="135"/>
      <c r="AE225" s="135"/>
      <c r="AF225" s="135"/>
      <c r="AG225" s="135"/>
      <c r="AH225" s="135"/>
      <c r="AI225" s="135"/>
      <c r="AJ225" s="135"/>
      <c r="AK225" s="135"/>
      <c r="AL225" s="135"/>
      <c r="AM225" s="135"/>
      <c r="AN225" s="135"/>
      <c r="AO225" s="135"/>
      <c r="AP225" s="135"/>
      <c r="AQ225" s="135"/>
      <c r="AR225" s="135"/>
      <c r="AS225" s="135"/>
      <c r="AT225" s="135"/>
      <c r="AU225" s="135"/>
      <c r="AV225" s="135"/>
      <c r="AW225" s="135"/>
      <c r="AX225" s="135"/>
      <c r="AY225" s="135"/>
      <c r="AZ225" s="135"/>
      <c r="BA225" s="135"/>
      <c r="BB225" s="135"/>
      <c r="BC225" s="135"/>
      <c r="BD225" s="135"/>
      <c r="BE225" s="135"/>
      <c r="BF225" s="135"/>
      <c r="BG225" s="135"/>
      <c r="BH225" s="135"/>
      <c r="BI225" s="135"/>
      <c r="BJ225" s="135"/>
      <c r="BK225" s="135"/>
      <c r="BL225" s="135"/>
      <c r="BM225" s="135"/>
      <c r="BN225" s="135"/>
      <c r="BO225" s="135"/>
      <c r="BP225" s="135"/>
      <c r="BQ225" s="135"/>
      <c r="BR225" s="135"/>
      <c r="BS225" s="135"/>
      <c r="BT225" s="135"/>
      <c r="BU225" s="135"/>
      <c r="BV225" s="135"/>
      <c r="BW225" s="135"/>
      <c r="BX225" s="135"/>
      <c r="BY225" s="135"/>
      <c r="BZ225" s="135"/>
      <c r="CA225" s="135"/>
      <c r="CB225" s="135"/>
      <c r="CC225" s="135"/>
      <c r="CD225" s="135"/>
      <c r="CE225" s="135"/>
      <c r="CF225" s="135"/>
      <c r="CG225" s="135"/>
      <c r="CH225" s="135"/>
      <c r="CI225" s="135"/>
      <c r="CJ225" s="135"/>
      <c r="CK225" s="135"/>
      <c r="CL225" s="135"/>
      <c r="CM225" s="135"/>
      <c r="CN225" s="135"/>
      <c r="CO225" s="135"/>
      <c r="CP225" s="135"/>
      <c r="CQ225" s="135"/>
      <c r="CR225" s="135"/>
      <c r="CS225" s="135"/>
      <c r="CT225" s="135"/>
      <c r="CU225" s="135"/>
      <c r="CV225" s="135"/>
      <c r="CW225" s="135"/>
      <c r="CX225" s="136"/>
    </row>
    <row r="226" spans="2:102">
      <c r="B226" s="133"/>
      <c r="C226" s="135"/>
      <c r="D226" s="135"/>
      <c r="E226" s="135"/>
      <c r="F226" s="135"/>
      <c r="G226" s="135"/>
      <c r="H226" s="135"/>
      <c r="I226" s="135"/>
      <c r="J226" s="135"/>
      <c r="K226" s="135"/>
      <c r="L226" s="135"/>
      <c r="M226" s="135"/>
      <c r="N226" s="138"/>
      <c r="O226" s="135"/>
      <c r="P226" s="135"/>
      <c r="Q226" s="135"/>
      <c r="R226" s="135"/>
      <c r="S226" s="135"/>
      <c r="T226" s="135"/>
      <c r="U226" s="135"/>
      <c r="V226" s="135"/>
      <c r="W226" s="135"/>
      <c r="X226" s="135"/>
      <c r="Y226" s="135"/>
      <c r="Z226" s="135"/>
      <c r="AA226" s="135"/>
      <c r="AB226" s="135"/>
      <c r="AC226" s="135"/>
      <c r="AD226" s="135"/>
      <c r="AE226" s="135"/>
      <c r="AF226" s="135"/>
      <c r="AG226" s="135"/>
      <c r="AH226" s="135"/>
      <c r="AI226" s="135"/>
      <c r="AJ226" s="135"/>
      <c r="AK226" s="135"/>
      <c r="AL226" s="135"/>
      <c r="AM226" s="135"/>
      <c r="AN226" s="135"/>
      <c r="AO226" s="135"/>
      <c r="AP226" s="135"/>
      <c r="AQ226" s="135"/>
      <c r="AR226" s="135"/>
      <c r="AS226" s="135"/>
      <c r="AT226" s="135"/>
      <c r="AU226" s="135"/>
      <c r="AV226" s="135"/>
      <c r="AW226" s="135"/>
      <c r="AX226" s="135"/>
      <c r="AY226" s="135"/>
      <c r="AZ226" s="135"/>
      <c r="BA226" s="135"/>
      <c r="BB226" s="135"/>
      <c r="BC226" s="135"/>
      <c r="BD226" s="135"/>
      <c r="BE226" s="135"/>
      <c r="BF226" s="135"/>
      <c r="BG226" s="135"/>
      <c r="BH226" s="135"/>
      <c r="BI226" s="135"/>
      <c r="BJ226" s="135"/>
      <c r="BK226" s="135"/>
      <c r="BL226" s="135"/>
      <c r="BM226" s="135"/>
      <c r="BN226" s="135"/>
      <c r="BO226" s="135"/>
      <c r="BP226" s="135"/>
      <c r="BQ226" s="135"/>
      <c r="BR226" s="135"/>
      <c r="BS226" s="135"/>
      <c r="BT226" s="135"/>
      <c r="BU226" s="135"/>
      <c r="BV226" s="135"/>
      <c r="BW226" s="135"/>
      <c r="BX226" s="135"/>
      <c r="BY226" s="135"/>
      <c r="BZ226" s="135"/>
      <c r="CA226" s="135"/>
      <c r="CB226" s="135"/>
      <c r="CC226" s="135"/>
      <c r="CD226" s="135"/>
      <c r="CE226" s="135"/>
      <c r="CF226" s="135"/>
      <c r="CG226" s="135"/>
      <c r="CH226" s="135"/>
      <c r="CI226" s="135"/>
      <c r="CJ226" s="135"/>
      <c r="CK226" s="135"/>
      <c r="CL226" s="135"/>
      <c r="CM226" s="135"/>
      <c r="CN226" s="135"/>
      <c r="CO226" s="135"/>
      <c r="CP226" s="135"/>
      <c r="CQ226" s="135"/>
      <c r="CR226" s="135"/>
      <c r="CS226" s="135"/>
      <c r="CT226" s="135"/>
      <c r="CU226" s="135"/>
      <c r="CV226" s="135"/>
      <c r="CW226" s="135"/>
      <c r="CX226" s="136"/>
    </row>
    <row r="227" spans="2:102">
      <c r="B227" s="133"/>
      <c r="C227" s="135"/>
      <c r="D227" s="135"/>
      <c r="E227" s="135"/>
      <c r="F227" s="135"/>
      <c r="G227" s="135"/>
      <c r="H227" s="135"/>
      <c r="I227" s="135"/>
      <c r="J227" s="135"/>
      <c r="K227" s="135"/>
      <c r="L227" s="135"/>
      <c r="M227" s="135"/>
      <c r="N227" s="138"/>
      <c r="O227" s="135"/>
      <c r="P227" s="135"/>
      <c r="Q227" s="135"/>
      <c r="R227" s="135"/>
      <c r="S227" s="135"/>
      <c r="T227" s="135"/>
      <c r="U227" s="135"/>
      <c r="V227" s="135"/>
      <c r="W227" s="135"/>
      <c r="X227" s="135"/>
      <c r="Y227" s="135"/>
      <c r="Z227" s="135"/>
      <c r="AA227" s="135"/>
      <c r="AB227" s="135"/>
      <c r="AC227" s="135"/>
      <c r="AD227" s="135"/>
      <c r="AE227" s="135"/>
      <c r="AF227" s="135"/>
      <c r="AG227" s="135"/>
      <c r="AH227" s="135"/>
      <c r="AI227" s="135"/>
      <c r="AJ227" s="135"/>
      <c r="AK227" s="135"/>
      <c r="AL227" s="135"/>
      <c r="AM227" s="135"/>
      <c r="AN227" s="135"/>
      <c r="AO227" s="135"/>
      <c r="AP227" s="135"/>
      <c r="AQ227" s="135"/>
      <c r="AR227" s="135"/>
      <c r="AS227" s="135"/>
      <c r="AT227" s="135"/>
      <c r="AU227" s="135"/>
      <c r="AV227" s="135"/>
      <c r="AW227" s="135"/>
      <c r="AX227" s="135"/>
      <c r="AY227" s="135"/>
      <c r="AZ227" s="135"/>
      <c r="BA227" s="135"/>
      <c r="BB227" s="135"/>
      <c r="BC227" s="135"/>
      <c r="BD227" s="135"/>
      <c r="BE227" s="135"/>
      <c r="BF227" s="135"/>
      <c r="BG227" s="135"/>
      <c r="BH227" s="135"/>
      <c r="BI227" s="135"/>
      <c r="BJ227" s="135"/>
      <c r="BK227" s="135"/>
      <c r="BL227" s="135"/>
      <c r="BM227" s="135"/>
      <c r="BN227" s="135"/>
      <c r="BO227" s="135"/>
      <c r="BP227" s="135"/>
      <c r="BQ227" s="135"/>
      <c r="BR227" s="135"/>
      <c r="BS227" s="135"/>
      <c r="BT227" s="135"/>
      <c r="BU227" s="135"/>
      <c r="BV227" s="135"/>
      <c r="BW227" s="135"/>
      <c r="BX227" s="135"/>
      <c r="BY227" s="135"/>
      <c r="BZ227" s="135"/>
      <c r="CA227" s="135"/>
      <c r="CB227" s="135"/>
      <c r="CC227" s="135"/>
      <c r="CD227" s="135"/>
      <c r="CE227" s="135"/>
      <c r="CF227" s="135"/>
      <c r="CG227" s="135"/>
      <c r="CH227" s="135"/>
      <c r="CI227" s="135"/>
      <c r="CJ227" s="135"/>
      <c r="CK227" s="135"/>
      <c r="CL227" s="135"/>
      <c r="CM227" s="135"/>
      <c r="CN227" s="135"/>
      <c r="CO227" s="135"/>
      <c r="CP227" s="135"/>
      <c r="CQ227" s="135"/>
      <c r="CR227" s="135"/>
      <c r="CS227" s="135"/>
      <c r="CT227" s="135"/>
      <c r="CU227" s="135"/>
      <c r="CV227" s="135"/>
      <c r="CW227" s="135"/>
      <c r="CX227" s="136"/>
    </row>
    <row r="228" spans="2:102">
      <c r="B228" s="133"/>
      <c r="C228" s="135"/>
      <c r="D228" s="135"/>
      <c r="E228" s="135"/>
      <c r="F228" s="135"/>
      <c r="G228" s="135"/>
      <c r="H228" s="135"/>
      <c r="I228" s="135"/>
      <c r="J228" s="135"/>
      <c r="K228" s="135"/>
      <c r="L228" s="135"/>
      <c r="M228" s="135"/>
      <c r="N228" s="138"/>
      <c r="O228" s="135"/>
      <c r="P228" s="135"/>
      <c r="Q228" s="135"/>
      <c r="R228" s="135"/>
      <c r="S228" s="135"/>
      <c r="T228" s="135"/>
      <c r="U228" s="135"/>
      <c r="V228" s="135"/>
      <c r="W228" s="135"/>
      <c r="X228" s="135"/>
      <c r="Y228" s="135"/>
      <c r="Z228" s="135"/>
      <c r="AA228" s="135"/>
      <c r="AB228" s="135"/>
      <c r="AC228" s="135"/>
      <c r="AD228" s="135"/>
      <c r="AE228" s="135"/>
      <c r="AF228" s="135"/>
      <c r="AG228" s="135"/>
      <c r="AH228" s="135"/>
      <c r="AI228" s="135"/>
      <c r="AJ228" s="135"/>
      <c r="AK228" s="135"/>
      <c r="AL228" s="135"/>
      <c r="AM228" s="135"/>
      <c r="AN228" s="135"/>
      <c r="AO228" s="135"/>
      <c r="AP228" s="135"/>
      <c r="AQ228" s="135"/>
      <c r="AR228" s="135"/>
      <c r="AS228" s="135"/>
      <c r="AT228" s="135"/>
      <c r="AU228" s="135"/>
      <c r="AV228" s="135"/>
      <c r="AW228" s="135"/>
      <c r="AX228" s="135"/>
      <c r="AY228" s="135"/>
      <c r="AZ228" s="135"/>
      <c r="BA228" s="135"/>
      <c r="BB228" s="135"/>
      <c r="BC228" s="135"/>
      <c r="BD228" s="135"/>
      <c r="BE228" s="135"/>
      <c r="BF228" s="135"/>
      <c r="BG228" s="135"/>
      <c r="BH228" s="135"/>
      <c r="BI228" s="135"/>
      <c r="BJ228" s="135"/>
      <c r="BK228" s="135"/>
      <c r="BL228" s="135"/>
      <c r="BM228" s="135"/>
      <c r="BN228" s="135"/>
      <c r="BO228" s="135"/>
      <c r="BP228" s="135"/>
      <c r="BQ228" s="135"/>
      <c r="BR228" s="135"/>
      <c r="BS228" s="135"/>
      <c r="BT228" s="135"/>
      <c r="BU228" s="135"/>
      <c r="BV228" s="135"/>
      <c r="BW228" s="135"/>
      <c r="BX228" s="135"/>
      <c r="BY228" s="135"/>
      <c r="BZ228" s="135"/>
      <c r="CA228" s="135"/>
      <c r="CB228" s="135"/>
      <c r="CC228" s="135"/>
      <c r="CD228" s="135"/>
      <c r="CE228" s="135"/>
      <c r="CF228" s="135"/>
      <c r="CG228" s="135"/>
      <c r="CH228" s="135"/>
      <c r="CI228" s="135"/>
      <c r="CJ228" s="135"/>
      <c r="CK228" s="135"/>
      <c r="CL228" s="135"/>
      <c r="CM228" s="135"/>
      <c r="CN228" s="135"/>
      <c r="CO228" s="135"/>
      <c r="CP228" s="135"/>
      <c r="CQ228" s="135"/>
      <c r="CR228" s="135"/>
      <c r="CS228" s="135"/>
      <c r="CT228" s="135"/>
      <c r="CU228" s="135"/>
      <c r="CV228" s="135"/>
      <c r="CW228" s="135"/>
      <c r="CX228" s="136"/>
    </row>
    <row r="229" spans="2:102">
      <c r="B229" s="133"/>
      <c r="C229" s="135"/>
      <c r="D229" s="135"/>
      <c r="E229" s="135"/>
      <c r="F229" s="135"/>
      <c r="G229" s="135"/>
      <c r="H229" s="135" t="s">
        <v>147</v>
      </c>
      <c r="I229" s="135"/>
      <c r="J229" s="135"/>
      <c r="K229" s="135"/>
      <c r="L229" s="135"/>
      <c r="M229" s="135"/>
      <c r="N229" s="135" t="s">
        <v>148</v>
      </c>
      <c r="O229" s="135"/>
      <c r="P229" s="135"/>
      <c r="Q229" s="135"/>
      <c r="R229" s="135"/>
      <c r="S229" s="135"/>
      <c r="T229" s="135"/>
      <c r="U229" s="135"/>
      <c r="V229" s="135"/>
      <c r="W229" s="135"/>
      <c r="AE229" s="135"/>
      <c r="AF229" s="135"/>
      <c r="AG229" s="135"/>
      <c r="AH229" s="135"/>
      <c r="AI229" s="135"/>
      <c r="AJ229" s="135"/>
      <c r="AK229" s="135"/>
      <c r="AL229" s="135"/>
      <c r="AM229" s="135"/>
      <c r="AN229" s="135"/>
      <c r="AO229" s="135"/>
      <c r="AP229" s="135"/>
      <c r="AQ229" s="135"/>
      <c r="AR229" s="135"/>
      <c r="AS229" s="135"/>
      <c r="AT229" s="135"/>
      <c r="AU229" s="135"/>
      <c r="AV229" s="135"/>
      <c r="AW229" s="135"/>
      <c r="AX229" s="135"/>
      <c r="AY229" s="135"/>
      <c r="AZ229" s="135"/>
      <c r="BA229" s="135"/>
      <c r="BB229" s="135"/>
      <c r="BC229" s="135"/>
      <c r="BD229" s="135"/>
      <c r="BE229" s="135"/>
      <c r="BF229" s="135"/>
      <c r="BG229" s="135"/>
      <c r="BH229" s="135"/>
      <c r="BI229" s="135"/>
      <c r="BJ229" s="135"/>
      <c r="BK229" s="135"/>
      <c r="BL229" s="135"/>
      <c r="BM229" s="135"/>
      <c r="BN229" s="135"/>
      <c r="BO229" s="135"/>
      <c r="BP229" s="135"/>
      <c r="BQ229" s="135"/>
      <c r="BR229" s="135"/>
      <c r="BS229" s="135"/>
      <c r="BT229" s="135"/>
      <c r="BU229" s="135"/>
      <c r="BV229" s="135"/>
      <c r="BW229" s="135"/>
      <c r="BX229" s="135"/>
      <c r="BY229" s="135"/>
      <c r="BZ229" s="135"/>
      <c r="CA229" s="135"/>
      <c r="CB229" s="135"/>
      <c r="CC229" s="135"/>
      <c r="CD229" s="135"/>
      <c r="CE229" s="135"/>
      <c r="CF229" s="135"/>
      <c r="CG229" s="135"/>
      <c r="CH229" s="135"/>
      <c r="CI229" s="135"/>
      <c r="CJ229" s="135"/>
      <c r="CK229" s="135"/>
      <c r="CL229" s="135"/>
      <c r="CM229" s="135"/>
      <c r="CN229" s="135"/>
      <c r="CO229" s="135"/>
      <c r="CP229" s="135"/>
      <c r="CQ229" s="135"/>
      <c r="CR229" s="135"/>
      <c r="CS229" s="135"/>
      <c r="CT229" s="135"/>
      <c r="CU229" s="135"/>
      <c r="CV229" s="135"/>
      <c r="CW229" s="135"/>
      <c r="CX229" s="136"/>
    </row>
    <row r="230" spans="2:102">
      <c r="B230" s="133"/>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c r="AB230" s="135"/>
      <c r="AC230" s="135"/>
      <c r="AD230" s="135"/>
      <c r="AE230" s="135"/>
      <c r="AF230" s="135"/>
      <c r="AG230" s="135"/>
      <c r="AH230" s="135"/>
      <c r="AI230" s="135"/>
      <c r="AJ230" s="135"/>
      <c r="AK230" s="135"/>
      <c r="AL230" s="135"/>
      <c r="AM230" s="135"/>
      <c r="AN230" s="135"/>
      <c r="AO230" s="135"/>
      <c r="AP230" s="135"/>
      <c r="AQ230" s="135"/>
      <c r="AR230" s="135"/>
      <c r="AS230" s="135"/>
      <c r="AT230" s="135"/>
      <c r="AU230" s="135"/>
      <c r="AV230" s="135"/>
      <c r="AW230" s="135"/>
      <c r="AX230" s="135"/>
      <c r="AY230" s="135"/>
      <c r="AZ230" s="135"/>
      <c r="BA230" s="135"/>
      <c r="BB230" s="135"/>
      <c r="BC230" s="135"/>
      <c r="BD230" s="135"/>
      <c r="BE230" s="135"/>
      <c r="BF230" s="135"/>
      <c r="BG230" s="135"/>
      <c r="BH230" s="135"/>
      <c r="BI230" s="135"/>
      <c r="BJ230" s="135"/>
      <c r="BK230" s="135"/>
      <c r="BL230" s="135"/>
      <c r="BM230" s="135"/>
      <c r="BN230" s="135"/>
      <c r="BO230" s="135"/>
      <c r="BP230" s="135"/>
      <c r="BQ230" s="135"/>
      <c r="BR230" s="135"/>
      <c r="BS230" s="135"/>
      <c r="BT230" s="135"/>
      <c r="BU230" s="135"/>
      <c r="BV230" s="135"/>
      <c r="BW230" s="135"/>
      <c r="BX230" s="135"/>
      <c r="BY230" s="135"/>
      <c r="BZ230" s="135"/>
      <c r="CA230" s="135"/>
      <c r="CB230" s="135"/>
      <c r="CC230" s="135"/>
      <c r="CD230" s="135"/>
      <c r="CE230" s="135"/>
      <c r="CF230" s="135"/>
      <c r="CG230" s="135"/>
      <c r="CH230" s="135"/>
      <c r="CI230" s="135"/>
      <c r="CJ230" s="135"/>
      <c r="CK230" s="135"/>
      <c r="CL230" s="135"/>
      <c r="CM230" s="135"/>
      <c r="CN230" s="135"/>
      <c r="CO230" s="135"/>
      <c r="CP230" s="135"/>
      <c r="CQ230" s="135"/>
      <c r="CR230" s="135"/>
      <c r="CS230" s="135"/>
      <c r="CT230" s="135"/>
      <c r="CU230" s="135"/>
      <c r="CV230" s="135"/>
      <c r="CW230" s="135"/>
      <c r="CX230" s="136"/>
    </row>
    <row r="231" spans="2:102">
      <c r="B231" s="133"/>
      <c r="C231" s="135"/>
      <c r="D231" s="135"/>
      <c r="E231" s="135"/>
      <c r="F231" s="135"/>
      <c r="G231" s="135"/>
      <c r="H231" s="135" t="s">
        <v>149</v>
      </c>
      <c r="I231" s="135"/>
      <c r="J231" s="135"/>
      <c r="K231" s="135"/>
      <c r="L231" s="135"/>
      <c r="M231" s="135"/>
      <c r="N231" s="135" t="s">
        <v>150</v>
      </c>
      <c r="O231" s="135"/>
      <c r="P231" s="135"/>
      <c r="Q231" s="135"/>
      <c r="R231" s="135"/>
      <c r="S231" s="135"/>
      <c r="T231" s="135"/>
      <c r="U231" s="135"/>
      <c r="V231" s="135"/>
      <c r="W231" s="135"/>
      <c r="X231" s="135"/>
      <c r="Y231" s="135"/>
      <c r="Z231" s="135"/>
      <c r="AA231" s="135"/>
      <c r="AB231" s="135"/>
      <c r="AC231" s="135"/>
      <c r="AD231" s="135"/>
      <c r="AE231" s="135"/>
      <c r="AF231" s="135"/>
      <c r="AG231" s="135"/>
      <c r="AH231" s="135"/>
      <c r="AI231" s="135"/>
      <c r="AJ231" s="135"/>
      <c r="AK231" s="135"/>
      <c r="AL231" s="135"/>
      <c r="AM231" s="135"/>
      <c r="AN231" s="135"/>
      <c r="AO231" s="135"/>
      <c r="AP231" s="135"/>
      <c r="AQ231" s="135"/>
      <c r="AR231" s="135"/>
      <c r="AS231" s="135"/>
      <c r="AT231" s="135"/>
      <c r="AU231" s="135"/>
      <c r="AV231" s="135"/>
      <c r="AW231" s="135"/>
      <c r="AX231" s="135"/>
      <c r="AY231" s="135"/>
      <c r="AZ231" s="135"/>
      <c r="BA231" s="135"/>
      <c r="BB231" s="135"/>
      <c r="BC231" s="135"/>
      <c r="BD231" s="135"/>
      <c r="BE231" s="135"/>
      <c r="BF231" s="135"/>
      <c r="BG231" s="135"/>
      <c r="BH231" s="135"/>
      <c r="BI231" s="135"/>
      <c r="BJ231" s="135"/>
      <c r="BK231" s="135"/>
      <c r="BL231" s="135"/>
      <c r="BM231" s="135"/>
      <c r="BN231" s="135"/>
      <c r="BO231" s="135"/>
      <c r="BP231" s="135"/>
      <c r="BQ231" s="135"/>
      <c r="BR231" s="135"/>
      <c r="BS231" s="135"/>
      <c r="BT231" s="135"/>
      <c r="BU231" s="135"/>
      <c r="BV231" s="135"/>
      <c r="BW231" s="135"/>
      <c r="BX231" s="135"/>
      <c r="BY231" s="135"/>
      <c r="BZ231" s="135"/>
      <c r="CA231" s="135"/>
      <c r="CB231" s="135"/>
      <c r="CC231" s="135"/>
      <c r="CD231" s="135"/>
      <c r="CE231" s="135"/>
      <c r="CF231" s="135"/>
      <c r="CG231" s="135"/>
      <c r="CH231" s="135"/>
      <c r="CI231" s="135"/>
      <c r="CJ231" s="135"/>
      <c r="CK231" s="135"/>
      <c r="CL231" s="135"/>
      <c r="CM231" s="135"/>
      <c r="CN231" s="135"/>
      <c r="CO231" s="135"/>
      <c r="CP231" s="135"/>
      <c r="CQ231" s="135"/>
      <c r="CR231" s="135"/>
      <c r="CS231" s="135"/>
      <c r="CT231" s="135"/>
      <c r="CU231" s="135"/>
      <c r="CV231" s="135"/>
      <c r="CW231" s="135"/>
      <c r="CX231" s="136"/>
    </row>
    <row r="232" spans="2:102">
      <c r="B232" s="133"/>
      <c r="C232" s="135"/>
      <c r="D232" s="135"/>
      <c r="E232" s="135"/>
      <c r="F232" s="135"/>
      <c r="G232" s="135"/>
      <c r="I232" s="135"/>
      <c r="J232" s="135"/>
      <c r="K232" s="135"/>
      <c r="L232" s="135"/>
      <c r="M232" s="135"/>
      <c r="N232" s="135"/>
      <c r="O232" s="135"/>
      <c r="P232" s="135"/>
      <c r="Q232" s="135"/>
      <c r="R232" s="135"/>
      <c r="S232" s="135"/>
      <c r="T232" s="135"/>
      <c r="U232" s="135"/>
      <c r="V232" s="135"/>
      <c r="W232" s="135"/>
      <c r="X232" s="135"/>
      <c r="Y232" s="135"/>
      <c r="Z232" s="135"/>
      <c r="AA232" s="135"/>
      <c r="AB232" s="135"/>
      <c r="AC232" s="135"/>
      <c r="AD232" s="135"/>
      <c r="AE232" s="135"/>
      <c r="AF232" s="135"/>
      <c r="AG232" s="135"/>
      <c r="AH232" s="135"/>
      <c r="AI232" s="135"/>
      <c r="AJ232" s="135"/>
      <c r="AK232" s="135"/>
      <c r="AL232" s="135"/>
      <c r="AM232" s="135"/>
      <c r="AN232" s="135"/>
      <c r="AO232" s="135"/>
      <c r="AP232" s="135"/>
      <c r="AQ232" s="135"/>
      <c r="AR232" s="135"/>
      <c r="AS232" s="135"/>
      <c r="AT232" s="135"/>
      <c r="AU232" s="135"/>
      <c r="AV232" s="135"/>
      <c r="AW232" s="135"/>
      <c r="AX232" s="135"/>
      <c r="AY232" s="135"/>
      <c r="AZ232" s="135"/>
      <c r="BA232" s="135"/>
      <c r="BB232" s="135"/>
      <c r="BC232" s="135"/>
      <c r="BD232" s="135"/>
      <c r="BE232" s="135"/>
      <c r="BF232" s="135"/>
      <c r="BG232" s="135"/>
      <c r="BH232" s="135"/>
      <c r="BI232" s="135"/>
      <c r="BJ232" s="135"/>
      <c r="BK232" s="135"/>
      <c r="BL232" s="135"/>
      <c r="BM232" s="135"/>
      <c r="BN232" s="135"/>
      <c r="BO232" s="135"/>
      <c r="BP232" s="135"/>
      <c r="BQ232" s="135"/>
      <c r="BR232" s="135"/>
      <c r="BS232" s="135"/>
      <c r="BT232" s="135"/>
      <c r="BU232" s="135"/>
      <c r="BV232" s="135"/>
      <c r="BW232" s="135"/>
      <c r="BX232" s="135"/>
      <c r="BY232" s="135"/>
      <c r="BZ232" s="135"/>
      <c r="CA232" s="135"/>
      <c r="CB232" s="135"/>
      <c r="CC232" s="135"/>
      <c r="CD232" s="135"/>
      <c r="CE232" s="135"/>
      <c r="CF232" s="135"/>
      <c r="CG232" s="135"/>
      <c r="CH232" s="135"/>
      <c r="CI232" s="135"/>
      <c r="CJ232" s="135"/>
      <c r="CK232" s="135"/>
      <c r="CL232" s="135"/>
      <c r="CM232" s="135"/>
      <c r="CN232" s="135"/>
      <c r="CO232" s="135"/>
      <c r="CP232" s="135"/>
      <c r="CQ232" s="135"/>
      <c r="CR232" s="135"/>
      <c r="CS232" s="135"/>
      <c r="CT232" s="135"/>
      <c r="CU232" s="135"/>
      <c r="CV232" s="135"/>
      <c r="CW232" s="135"/>
      <c r="CX232" s="136"/>
    </row>
    <row r="233" spans="2:102">
      <c r="B233" s="133"/>
      <c r="C233" s="135"/>
      <c r="D233" s="135"/>
      <c r="E233" s="135"/>
      <c r="F233" s="135"/>
      <c r="H233" s="135" t="s">
        <v>131</v>
      </c>
      <c r="I233" s="135"/>
      <c r="J233" s="135"/>
      <c r="K233" s="135"/>
      <c r="L233" s="135"/>
      <c r="M233" s="135"/>
      <c r="N233" s="135" t="s">
        <v>151</v>
      </c>
      <c r="O233" s="135"/>
      <c r="P233" s="135"/>
      <c r="Q233" s="135"/>
      <c r="R233" s="135"/>
      <c r="S233" s="135"/>
      <c r="T233" s="135"/>
      <c r="U233" s="135"/>
      <c r="V233" s="135"/>
      <c r="W233" s="135"/>
      <c r="X233" s="135"/>
      <c r="Y233" s="135"/>
      <c r="Z233" s="135"/>
      <c r="AA233" s="135"/>
      <c r="AB233" s="135"/>
      <c r="AC233" s="135"/>
      <c r="AD233" s="135"/>
      <c r="AE233" s="135"/>
      <c r="AF233" s="135"/>
      <c r="AG233" s="135"/>
      <c r="AH233" s="135"/>
      <c r="AI233" s="135"/>
      <c r="AJ233" s="135"/>
      <c r="AK233" s="135"/>
      <c r="AL233" s="135"/>
      <c r="AM233" s="135"/>
      <c r="AN233" s="135"/>
      <c r="AO233" s="135"/>
      <c r="AP233" s="135"/>
      <c r="AQ233" s="135"/>
      <c r="AR233" s="135"/>
      <c r="AS233" s="135"/>
      <c r="AT233" s="135"/>
      <c r="AU233" s="135"/>
      <c r="AV233" s="135"/>
      <c r="AW233" s="135"/>
      <c r="AX233" s="135"/>
      <c r="AY233" s="135"/>
      <c r="AZ233" s="135"/>
      <c r="BA233" s="135"/>
      <c r="BB233" s="135"/>
      <c r="BC233" s="135"/>
      <c r="BD233" s="135"/>
      <c r="BE233" s="135"/>
      <c r="BF233" s="135"/>
      <c r="BG233" s="135"/>
      <c r="BH233" s="135"/>
      <c r="BI233" s="135"/>
      <c r="BJ233" s="135"/>
      <c r="BK233" s="135"/>
      <c r="BL233" s="135"/>
      <c r="BM233" s="135"/>
      <c r="BN233" s="135"/>
      <c r="BO233" s="135"/>
      <c r="BP233" s="135"/>
      <c r="BQ233" s="135"/>
      <c r="BR233" s="135"/>
      <c r="BS233" s="135"/>
      <c r="BT233" s="135"/>
      <c r="BU233" s="135"/>
      <c r="BV233" s="135"/>
      <c r="BW233" s="135"/>
      <c r="BX233" s="135"/>
      <c r="BY233" s="135"/>
      <c r="BZ233" s="135"/>
      <c r="CA233" s="135"/>
      <c r="CB233" s="135"/>
      <c r="CC233" s="135"/>
      <c r="CD233" s="135"/>
      <c r="CE233" s="135"/>
      <c r="CF233" s="135"/>
      <c r="CG233" s="135"/>
      <c r="CH233" s="135"/>
      <c r="CI233" s="135"/>
      <c r="CJ233" s="135"/>
      <c r="CK233" s="135"/>
      <c r="CL233" s="135"/>
      <c r="CM233" s="135"/>
      <c r="CN233" s="135"/>
      <c r="CO233" s="135"/>
      <c r="CP233" s="135"/>
      <c r="CQ233" s="135"/>
      <c r="CR233" s="135"/>
      <c r="CS233" s="135"/>
      <c r="CT233" s="135"/>
      <c r="CU233" s="135"/>
      <c r="CV233" s="135"/>
      <c r="CW233" s="135"/>
      <c r="CX233" s="136"/>
    </row>
    <row r="234" spans="2:102">
      <c r="B234" s="133"/>
      <c r="C234" s="135"/>
      <c r="D234" s="135"/>
      <c r="E234" s="135"/>
      <c r="F234" s="135"/>
      <c r="H234" s="135"/>
      <c r="I234" s="135"/>
      <c r="J234" s="135"/>
      <c r="K234" s="135"/>
      <c r="L234" s="135"/>
      <c r="M234" s="135"/>
      <c r="N234" s="135"/>
      <c r="O234" s="135"/>
      <c r="P234" s="135"/>
      <c r="Q234" s="135"/>
      <c r="R234" s="135"/>
      <c r="S234" s="135"/>
      <c r="T234" s="135"/>
      <c r="U234" s="135"/>
      <c r="V234" s="135"/>
      <c r="W234" s="135"/>
      <c r="X234" s="135"/>
      <c r="Y234" s="135"/>
      <c r="Z234" s="135"/>
      <c r="AA234" s="135"/>
      <c r="AB234" s="135"/>
      <c r="AC234" s="135"/>
      <c r="AD234" s="135"/>
      <c r="AE234" s="135"/>
      <c r="AF234" s="135"/>
      <c r="AG234" s="135"/>
      <c r="AH234" s="135"/>
      <c r="AI234" s="135"/>
      <c r="AJ234" s="135"/>
      <c r="AK234" s="135"/>
      <c r="AL234" s="135"/>
      <c r="AM234" s="135"/>
      <c r="AN234" s="135"/>
      <c r="AO234" s="135"/>
      <c r="AP234" s="135"/>
      <c r="AQ234" s="135"/>
      <c r="AR234" s="135"/>
      <c r="AS234" s="135"/>
      <c r="AT234" s="135"/>
      <c r="AU234" s="135"/>
      <c r="AV234" s="135"/>
      <c r="AW234" s="135"/>
      <c r="AX234" s="135"/>
      <c r="AY234" s="135"/>
      <c r="AZ234" s="135"/>
      <c r="BA234" s="135"/>
      <c r="BB234" s="135"/>
      <c r="BC234" s="135"/>
      <c r="BD234" s="135"/>
      <c r="BE234" s="135"/>
      <c r="BF234" s="135"/>
      <c r="BG234" s="135"/>
      <c r="BH234" s="135"/>
      <c r="BI234" s="135"/>
      <c r="BJ234" s="135"/>
      <c r="BK234" s="135"/>
      <c r="BL234" s="135"/>
      <c r="BM234" s="135"/>
      <c r="BN234" s="135"/>
      <c r="BO234" s="135"/>
      <c r="BP234" s="135"/>
      <c r="BQ234" s="135"/>
      <c r="BR234" s="135"/>
      <c r="BS234" s="135"/>
      <c r="BT234" s="135"/>
      <c r="BU234" s="135"/>
      <c r="BV234" s="135"/>
      <c r="BW234" s="135"/>
      <c r="BX234" s="135"/>
      <c r="BY234" s="135"/>
      <c r="BZ234" s="135"/>
      <c r="CA234" s="135"/>
      <c r="CB234" s="135"/>
      <c r="CC234" s="135"/>
      <c r="CD234" s="135"/>
      <c r="CE234" s="135"/>
      <c r="CF234" s="135"/>
      <c r="CG234" s="135"/>
      <c r="CH234" s="135"/>
      <c r="CI234" s="135"/>
      <c r="CJ234" s="135"/>
      <c r="CK234" s="135"/>
      <c r="CL234" s="135"/>
      <c r="CM234" s="135"/>
      <c r="CN234" s="135"/>
      <c r="CO234" s="135"/>
      <c r="CP234" s="135"/>
      <c r="CQ234" s="135"/>
      <c r="CR234" s="135"/>
      <c r="CS234" s="135"/>
      <c r="CT234" s="135"/>
      <c r="CU234" s="135"/>
      <c r="CV234" s="135"/>
      <c r="CW234" s="135"/>
      <c r="CX234" s="136"/>
    </row>
    <row r="235" spans="2:102">
      <c r="B235" s="133"/>
      <c r="C235" s="135"/>
      <c r="D235" s="135"/>
      <c r="E235" s="135"/>
      <c r="F235" s="135"/>
      <c r="H235" s="135" t="s">
        <v>135</v>
      </c>
      <c r="I235" s="135"/>
      <c r="J235" s="135"/>
      <c r="K235" s="135"/>
      <c r="L235" s="135"/>
      <c r="M235" s="135"/>
      <c r="N235" s="135" t="s">
        <v>152</v>
      </c>
      <c r="O235" s="135"/>
      <c r="P235" s="135"/>
      <c r="Q235" s="135"/>
      <c r="R235" s="135"/>
      <c r="S235" s="135"/>
      <c r="T235" s="135"/>
      <c r="U235" s="135"/>
      <c r="V235" s="135"/>
      <c r="W235" s="135"/>
      <c r="X235" s="135"/>
      <c r="Y235" s="135"/>
      <c r="Z235" s="135"/>
      <c r="AA235" s="135"/>
      <c r="AB235" s="135"/>
      <c r="AC235" s="135"/>
      <c r="AD235" s="135"/>
      <c r="AE235" s="135"/>
      <c r="AF235" s="135"/>
      <c r="AG235" s="135"/>
      <c r="AH235" s="135"/>
      <c r="AI235" s="135"/>
      <c r="AJ235" s="135"/>
      <c r="AK235" s="135"/>
      <c r="AL235" s="135"/>
      <c r="AM235" s="135"/>
      <c r="AN235" s="135"/>
      <c r="AO235" s="135"/>
      <c r="AP235" s="135"/>
      <c r="AQ235" s="135"/>
      <c r="AR235" s="135"/>
      <c r="AS235" s="135"/>
      <c r="AT235" s="135"/>
      <c r="AU235" s="135"/>
      <c r="AV235" s="135"/>
      <c r="AW235" s="135"/>
      <c r="AX235" s="135"/>
      <c r="AY235" s="135"/>
      <c r="AZ235" s="135"/>
      <c r="BA235" s="135"/>
      <c r="BB235" s="135"/>
      <c r="BC235" s="135"/>
      <c r="BD235" s="135"/>
      <c r="BE235" s="135"/>
      <c r="BF235" s="135"/>
      <c r="BG235" s="135"/>
      <c r="BH235" s="135"/>
      <c r="BI235" s="135"/>
      <c r="BJ235" s="135"/>
      <c r="BK235" s="135"/>
      <c r="BL235" s="135"/>
      <c r="BM235" s="135"/>
      <c r="BN235" s="135"/>
      <c r="BO235" s="135"/>
      <c r="BP235" s="135"/>
      <c r="BQ235" s="135"/>
      <c r="BR235" s="135"/>
      <c r="BS235" s="135"/>
      <c r="BT235" s="135"/>
      <c r="BU235" s="135"/>
      <c r="BV235" s="135"/>
      <c r="BW235" s="135"/>
      <c r="BX235" s="135"/>
      <c r="BY235" s="135"/>
      <c r="BZ235" s="135"/>
      <c r="CA235" s="135"/>
      <c r="CB235" s="135"/>
      <c r="CC235" s="135"/>
      <c r="CD235" s="135"/>
      <c r="CE235" s="135"/>
      <c r="CF235" s="135"/>
      <c r="CG235" s="135"/>
      <c r="CH235" s="135"/>
      <c r="CI235" s="135"/>
      <c r="CJ235" s="135"/>
      <c r="CK235" s="135"/>
      <c r="CL235" s="135"/>
      <c r="CM235" s="135"/>
      <c r="CN235" s="135"/>
      <c r="CO235" s="135"/>
      <c r="CP235" s="135"/>
      <c r="CQ235" s="135"/>
      <c r="CR235" s="135"/>
      <c r="CS235" s="135"/>
      <c r="CT235" s="135"/>
      <c r="CU235" s="135"/>
      <c r="CV235" s="135"/>
      <c r="CW235" s="135"/>
      <c r="CX235" s="136"/>
    </row>
    <row r="236" spans="2:102">
      <c r="B236" s="133"/>
      <c r="C236" s="135"/>
      <c r="D236" s="135"/>
      <c r="E236" s="135"/>
      <c r="F236" s="135"/>
      <c r="H236" s="135"/>
      <c r="I236" s="135"/>
      <c r="J236" s="135"/>
      <c r="K236" s="135"/>
      <c r="L236" s="135"/>
      <c r="M236" s="135"/>
      <c r="N236" s="135"/>
      <c r="O236" s="135"/>
      <c r="P236" s="135"/>
      <c r="Q236" s="135"/>
      <c r="R236" s="135"/>
      <c r="S236" s="135"/>
      <c r="T236" s="135"/>
      <c r="U236" s="135"/>
      <c r="AA236" s="135"/>
      <c r="AB236" s="135"/>
      <c r="AC236" s="135"/>
      <c r="AD236" s="135"/>
      <c r="AE236" s="135"/>
      <c r="AF236" s="135"/>
      <c r="AG236" s="135"/>
      <c r="AH236" s="135"/>
      <c r="AI236" s="135"/>
      <c r="AJ236" s="135"/>
      <c r="AK236" s="135"/>
      <c r="AL236" s="135"/>
      <c r="AM236" s="135"/>
      <c r="AN236" s="135"/>
      <c r="AO236" s="135"/>
      <c r="AP236" s="135"/>
      <c r="AQ236" s="135"/>
      <c r="AR236" s="135"/>
      <c r="AS236" s="135"/>
      <c r="AT236" s="135"/>
      <c r="AU236" s="135"/>
      <c r="AV236" s="135"/>
      <c r="AW236" s="135"/>
      <c r="AX236" s="135"/>
      <c r="AY236" s="135"/>
      <c r="AZ236" s="135"/>
      <c r="BA236" s="135"/>
      <c r="BB236" s="135"/>
      <c r="BC236" s="135"/>
      <c r="BD236" s="135"/>
      <c r="BE236" s="135"/>
      <c r="BF236" s="135"/>
      <c r="BG236" s="135"/>
      <c r="BH236" s="135"/>
      <c r="BI236" s="135"/>
      <c r="BJ236" s="135"/>
      <c r="BK236" s="135"/>
      <c r="BL236" s="135"/>
      <c r="BM236" s="135"/>
      <c r="BN236" s="135"/>
      <c r="BO236" s="135"/>
      <c r="BP236" s="135"/>
      <c r="BQ236" s="135"/>
      <c r="BR236" s="135"/>
      <c r="BS236" s="135"/>
      <c r="BT236" s="135"/>
      <c r="BU236" s="135"/>
      <c r="BV236" s="135"/>
      <c r="BW236" s="135"/>
      <c r="BX236" s="135"/>
      <c r="BY236" s="135"/>
      <c r="BZ236" s="135"/>
      <c r="CA236" s="135"/>
      <c r="CB236" s="135"/>
      <c r="CC236" s="135"/>
      <c r="CD236" s="135"/>
      <c r="CE236" s="135"/>
      <c r="CF236" s="135"/>
      <c r="CG236" s="135"/>
      <c r="CH236" s="135"/>
      <c r="CI236" s="135"/>
      <c r="CJ236" s="135"/>
      <c r="CK236" s="135"/>
      <c r="CL236" s="135"/>
      <c r="CM236" s="135"/>
      <c r="CN236" s="135"/>
      <c r="CO236" s="135"/>
      <c r="CP236" s="135"/>
      <c r="CQ236" s="135"/>
      <c r="CR236" s="135"/>
      <c r="CS236" s="135"/>
      <c r="CT236" s="135"/>
      <c r="CU236" s="135"/>
      <c r="CV236" s="135"/>
      <c r="CW236" s="135"/>
      <c r="CX236" s="136"/>
    </row>
    <row r="237" spans="2:102">
      <c r="B237" s="128"/>
      <c r="CX237" s="129"/>
    </row>
    <row r="238" spans="2:102">
      <c r="B238" s="128"/>
      <c r="CX238" s="129"/>
    </row>
    <row r="239" spans="2:102">
      <c r="B239" s="128"/>
      <c r="CX239" s="129"/>
    </row>
    <row r="240" spans="2:102">
      <c r="B240" s="128"/>
      <c r="CX240" s="129"/>
    </row>
    <row r="241" spans="2:102">
      <c r="B241" s="128"/>
      <c r="CX241" s="129"/>
    </row>
    <row r="242" spans="2:102">
      <c r="B242" s="128"/>
      <c r="CX242" s="129"/>
    </row>
    <row r="243" spans="2:102">
      <c r="B243" s="128"/>
      <c r="CX243" s="129"/>
    </row>
    <row r="244" spans="2:102">
      <c r="B244" s="128"/>
      <c r="CX244" s="129"/>
    </row>
    <row r="245" spans="2:102">
      <c r="B245" s="128"/>
      <c r="CX245" s="129"/>
    </row>
    <row r="246" spans="2:102">
      <c r="B246" s="128"/>
      <c r="CX246" s="129"/>
    </row>
    <row r="247" spans="2:102">
      <c r="B247" s="128"/>
      <c r="CX247" s="129"/>
    </row>
    <row r="248" spans="2:102">
      <c r="B248" s="128"/>
      <c r="CX248" s="129"/>
    </row>
    <row r="249" spans="2:102">
      <c r="B249" s="128"/>
      <c r="CX249" s="129"/>
    </row>
    <row r="250" spans="2:102">
      <c r="B250" s="128"/>
      <c r="CX250" s="129"/>
    </row>
    <row r="251" spans="2:102">
      <c r="B251" s="139"/>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c r="AA251" s="140"/>
      <c r="AB251" s="140"/>
      <c r="AC251" s="140"/>
      <c r="AD251" s="140"/>
      <c r="AE251" s="140"/>
      <c r="AF251" s="140"/>
      <c r="AG251" s="140"/>
      <c r="AH251" s="140"/>
      <c r="AI251" s="140"/>
      <c r="AJ251" s="140"/>
      <c r="AK251" s="140"/>
      <c r="AL251" s="140"/>
      <c r="AM251" s="140"/>
      <c r="AN251" s="140"/>
      <c r="AO251" s="140"/>
      <c r="AP251" s="140"/>
      <c r="AQ251" s="140"/>
      <c r="AR251" s="140"/>
      <c r="AS251" s="140"/>
      <c r="AT251" s="140"/>
      <c r="AU251" s="140"/>
      <c r="AV251" s="140"/>
      <c r="AW251" s="140"/>
      <c r="AX251" s="140"/>
      <c r="AY251" s="140"/>
      <c r="AZ251" s="140"/>
      <c r="BA251" s="140"/>
      <c r="BB251" s="140"/>
      <c r="BC251" s="140"/>
      <c r="BD251" s="140"/>
      <c r="BE251" s="140"/>
      <c r="BF251" s="140"/>
      <c r="BG251" s="140"/>
      <c r="BH251" s="140"/>
      <c r="BI251" s="140"/>
      <c r="BJ251" s="140"/>
      <c r="BK251" s="140"/>
      <c r="BL251" s="140"/>
      <c r="BM251" s="140"/>
      <c r="BN251" s="140"/>
      <c r="BO251" s="140"/>
      <c r="BP251" s="140"/>
      <c r="BQ251" s="140"/>
      <c r="BR251" s="140"/>
      <c r="BS251" s="140"/>
      <c r="BT251" s="140"/>
      <c r="BU251" s="140"/>
      <c r="BV251" s="140"/>
      <c r="BW251" s="140"/>
      <c r="BX251" s="140"/>
      <c r="BY251" s="140"/>
      <c r="BZ251" s="140"/>
      <c r="CA251" s="140"/>
      <c r="CB251" s="140"/>
      <c r="CC251" s="140"/>
      <c r="CD251" s="140"/>
      <c r="CE251" s="140"/>
      <c r="CF251" s="140"/>
      <c r="CG251" s="140"/>
      <c r="CH251" s="140"/>
      <c r="CI251" s="140"/>
      <c r="CJ251" s="140"/>
      <c r="CK251" s="140"/>
      <c r="CL251" s="140"/>
      <c r="CM251" s="140"/>
      <c r="CN251" s="140"/>
      <c r="CO251" s="140"/>
      <c r="CP251" s="140"/>
      <c r="CQ251" s="140"/>
      <c r="CR251" s="140"/>
      <c r="CS251" s="140"/>
      <c r="CT251" s="140"/>
      <c r="CU251" s="140"/>
      <c r="CV251" s="140"/>
      <c r="CW251" s="140"/>
      <c r="CX251" s="141"/>
    </row>
    <row r="252" spans="2:102">
      <c r="B252" s="133"/>
      <c r="C252" s="135"/>
      <c r="D252" s="135"/>
      <c r="O252" s="135"/>
      <c r="P252" s="135"/>
      <c r="Q252" s="135"/>
      <c r="R252" s="135"/>
      <c r="S252" s="135"/>
      <c r="T252" s="135"/>
      <c r="U252" s="135"/>
      <c r="V252" s="135"/>
      <c r="W252" s="135"/>
      <c r="X252" s="135"/>
      <c r="Y252" s="135"/>
      <c r="Z252" s="135"/>
      <c r="AA252" s="135"/>
      <c r="AB252" s="135"/>
      <c r="AC252" s="135"/>
      <c r="AD252" s="135"/>
      <c r="AE252" s="135"/>
      <c r="AF252" s="135"/>
      <c r="AG252" s="135"/>
      <c r="AH252" s="135"/>
      <c r="AI252" s="135"/>
      <c r="AJ252" s="135"/>
      <c r="AK252" s="135"/>
      <c r="AL252" s="135"/>
      <c r="AM252" s="135"/>
      <c r="AN252" s="135"/>
      <c r="AO252" s="135"/>
      <c r="AP252" s="135"/>
      <c r="AQ252" s="135"/>
      <c r="AR252" s="135"/>
      <c r="AS252" s="135"/>
      <c r="AT252" s="135"/>
      <c r="AU252" s="135"/>
      <c r="AV252" s="135"/>
      <c r="AW252" s="135"/>
      <c r="AX252" s="135"/>
      <c r="AY252" s="135"/>
      <c r="AZ252" s="135"/>
      <c r="BA252" s="135"/>
      <c r="BB252" s="135"/>
      <c r="BC252" s="135"/>
      <c r="BD252" s="135"/>
      <c r="BE252" s="135"/>
      <c r="BF252" s="135"/>
      <c r="BG252" s="135"/>
      <c r="BH252" s="135"/>
      <c r="BI252" s="135"/>
      <c r="BJ252" s="135"/>
      <c r="BK252" s="135"/>
      <c r="BL252" s="135"/>
      <c r="BM252" s="135"/>
      <c r="BN252" s="135"/>
      <c r="BO252" s="135"/>
      <c r="BP252" s="135"/>
      <c r="BQ252" s="135"/>
      <c r="BR252" s="135"/>
      <c r="BS252" s="135"/>
      <c r="BT252" s="135"/>
      <c r="BU252" s="135"/>
      <c r="BV252" s="135"/>
      <c r="BW252" s="135"/>
      <c r="BX252" s="135"/>
      <c r="BY252" s="135"/>
      <c r="BZ252" s="135"/>
      <c r="CA252" s="135"/>
      <c r="CB252" s="135"/>
      <c r="CC252" s="135"/>
      <c r="CD252" s="135"/>
      <c r="CE252" s="135"/>
      <c r="CF252" s="135"/>
      <c r="CG252" s="135"/>
      <c r="CH252" s="135"/>
      <c r="CI252" s="135"/>
      <c r="CJ252" s="135"/>
      <c r="CK252" s="135"/>
      <c r="CL252" s="135"/>
      <c r="CM252" s="135"/>
      <c r="CN252" s="135"/>
      <c r="CO252" s="135"/>
      <c r="CP252" s="135"/>
      <c r="CQ252" s="135"/>
      <c r="CR252" s="135"/>
      <c r="CS252" s="135"/>
      <c r="CT252" s="135"/>
      <c r="CU252" s="135"/>
      <c r="CV252" s="135"/>
      <c r="CW252" s="135"/>
      <c r="CX252" s="136"/>
    </row>
    <row r="253" spans="2:102">
      <c r="B253" s="133"/>
      <c r="C253" s="135"/>
      <c r="D253" s="135"/>
      <c r="E253" s="137" t="s">
        <v>153</v>
      </c>
      <c r="F253" s="138"/>
      <c r="G253" s="138"/>
      <c r="H253" s="138" t="s">
        <v>154</v>
      </c>
      <c r="I253" s="138"/>
      <c r="J253" s="138"/>
      <c r="K253" s="138"/>
      <c r="L253" s="138"/>
      <c r="M253" s="138"/>
      <c r="N253" s="135"/>
      <c r="O253" s="135"/>
      <c r="P253" s="135"/>
      <c r="Q253" s="135"/>
      <c r="R253" s="135"/>
      <c r="S253" s="135"/>
      <c r="T253" s="135"/>
      <c r="U253" s="135"/>
      <c r="V253" s="135"/>
      <c r="W253" s="135"/>
      <c r="X253" s="135"/>
      <c r="Y253" s="135"/>
      <c r="Z253" s="135"/>
      <c r="AA253" s="135"/>
      <c r="AB253" s="135"/>
      <c r="AC253" s="135"/>
      <c r="AD253" s="135"/>
      <c r="AE253" s="135"/>
      <c r="AF253" s="135"/>
      <c r="AG253" s="135"/>
      <c r="AH253" s="135"/>
      <c r="AI253" s="135"/>
      <c r="AJ253" s="135"/>
      <c r="AK253" s="135"/>
      <c r="AL253" s="135"/>
      <c r="AM253" s="135"/>
      <c r="AN253" s="135"/>
      <c r="AO253" s="135"/>
      <c r="AP253" s="135"/>
      <c r="AQ253" s="135"/>
      <c r="AR253" s="135"/>
      <c r="AS253" s="135"/>
      <c r="AT253" s="135"/>
      <c r="AU253" s="135"/>
      <c r="AV253" s="135"/>
      <c r="AW253" s="135"/>
      <c r="AX253" s="135"/>
      <c r="AY253" s="135"/>
      <c r="AZ253" s="135"/>
      <c r="BA253" s="135"/>
      <c r="BB253" s="135"/>
      <c r="BC253" s="135"/>
      <c r="BD253" s="135"/>
      <c r="BE253" s="135"/>
      <c r="BF253" s="135"/>
      <c r="BG253" s="135"/>
      <c r="BH253" s="135"/>
      <c r="BI253" s="135"/>
      <c r="BJ253" s="135"/>
      <c r="BK253" s="135"/>
      <c r="BL253" s="135"/>
      <c r="BM253" s="135"/>
      <c r="BN253" s="135"/>
      <c r="BO253" s="135"/>
      <c r="BP253" s="135"/>
      <c r="BQ253" s="135"/>
      <c r="BR253" s="135"/>
      <c r="BS253" s="135"/>
      <c r="BT253" s="135"/>
      <c r="BU253" s="135"/>
      <c r="BV253" s="135"/>
      <c r="BW253" s="135"/>
      <c r="BX253" s="135"/>
      <c r="BY253" s="135"/>
      <c r="BZ253" s="135"/>
      <c r="CA253" s="135"/>
      <c r="CB253" s="135"/>
      <c r="CC253" s="135"/>
      <c r="CD253" s="135"/>
      <c r="CE253" s="135"/>
      <c r="CF253" s="135"/>
      <c r="CG253" s="135"/>
      <c r="CH253" s="135"/>
      <c r="CI253" s="135"/>
      <c r="CJ253" s="135"/>
      <c r="CK253" s="135"/>
      <c r="CL253" s="135"/>
      <c r="CM253" s="135"/>
      <c r="CN253" s="135"/>
      <c r="CO253" s="135"/>
      <c r="CP253" s="135"/>
      <c r="CQ253" s="135"/>
      <c r="CR253" s="135"/>
      <c r="CS253" s="135"/>
      <c r="CT253" s="135"/>
      <c r="CU253" s="135"/>
      <c r="CV253" s="135"/>
      <c r="CW253" s="135"/>
      <c r="CX253" s="136"/>
    </row>
    <row r="254" spans="2:102">
      <c r="B254" s="133"/>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c r="AB254" s="135"/>
      <c r="AC254" s="135"/>
      <c r="AD254" s="135"/>
      <c r="AE254" s="135"/>
      <c r="AF254" s="135"/>
      <c r="AG254" s="135"/>
      <c r="AH254" s="135"/>
      <c r="AI254" s="135"/>
      <c r="AJ254" s="135"/>
      <c r="AK254" s="135"/>
      <c r="AL254" s="135"/>
      <c r="AM254" s="135"/>
      <c r="AN254" s="135"/>
      <c r="AO254" s="135"/>
      <c r="AP254" s="135"/>
      <c r="AQ254" s="135"/>
      <c r="AR254" s="135"/>
      <c r="AS254" s="135"/>
      <c r="AT254" s="135"/>
      <c r="AU254" s="135"/>
      <c r="AV254" s="135"/>
      <c r="AW254" s="135"/>
      <c r="AX254" s="135"/>
      <c r="AY254" s="135"/>
      <c r="AZ254" s="135"/>
      <c r="BA254" s="135"/>
      <c r="BB254" s="135"/>
      <c r="BC254" s="135"/>
      <c r="BD254" s="135"/>
      <c r="BE254" s="135"/>
      <c r="BF254" s="135"/>
      <c r="BG254" s="135"/>
      <c r="BH254" s="135"/>
      <c r="BI254" s="135"/>
      <c r="BJ254" s="135"/>
      <c r="BK254" s="135"/>
      <c r="BL254" s="135"/>
      <c r="BM254" s="135"/>
      <c r="BN254" s="135"/>
      <c r="BO254" s="135"/>
      <c r="BP254" s="135"/>
      <c r="BQ254" s="135"/>
      <c r="BR254" s="135"/>
      <c r="BS254" s="135"/>
      <c r="BT254" s="135"/>
      <c r="BU254" s="135"/>
      <c r="BV254" s="135"/>
      <c r="BW254" s="135"/>
      <c r="BX254" s="135"/>
      <c r="BY254" s="135"/>
      <c r="BZ254" s="135"/>
      <c r="CA254" s="135"/>
      <c r="CB254" s="135"/>
      <c r="CC254" s="135"/>
      <c r="CD254" s="135"/>
      <c r="CE254" s="135"/>
      <c r="CF254" s="135"/>
      <c r="CG254" s="135"/>
      <c r="CH254" s="135"/>
      <c r="CI254" s="135"/>
      <c r="CJ254" s="135"/>
      <c r="CK254" s="135"/>
      <c r="CL254" s="135"/>
      <c r="CM254" s="135"/>
      <c r="CN254" s="135"/>
      <c r="CO254" s="135"/>
      <c r="CP254" s="135"/>
      <c r="CQ254" s="135"/>
      <c r="CR254" s="135"/>
      <c r="CS254" s="135"/>
      <c r="CT254" s="135"/>
      <c r="CU254" s="135"/>
      <c r="CV254" s="135"/>
      <c r="CW254" s="135"/>
      <c r="CX254" s="136"/>
    </row>
    <row r="255" spans="2:102">
      <c r="B255" s="133"/>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c r="AB255" s="135"/>
      <c r="AC255" s="135"/>
      <c r="AD255" s="135"/>
      <c r="AE255" s="135"/>
      <c r="AF255" s="135"/>
      <c r="AG255" s="135"/>
      <c r="AH255" s="135"/>
      <c r="AI255" s="135"/>
      <c r="AJ255" s="135"/>
      <c r="AK255" s="135"/>
      <c r="AL255" s="135"/>
      <c r="AM255" s="135"/>
      <c r="AN255" s="135"/>
      <c r="AO255" s="135"/>
      <c r="AP255" s="135"/>
      <c r="AQ255" s="135"/>
      <c r="AR255" s="135"/>
      <c r="AS255" s="135"/>
      <c r="AT255" s="135"/>
      <c r="AU255" s="135"/>
      <c r="AV255" s="135"/>
      <c r="AW255" s="135"/>
      <c r="AX255" s="135"/>
      <c r="AY255" s="135"/>
      <c r="AZ255" s="135"/>
      <c r="BA255" s="135"/>
      <c r="BB255" s="135"/>
      <c r="BC255" s="135"/>
      <c r="BD255" s="135"/>
      <c r="BE255" s="135"/>
      <c r="BF255" s="135"/>
      <c r="BG255" s="135"/>
      <c r="BH255" s="135"/>
      <c r="BI255" s="135"/>
      <c r="BJ255" s="135"/>
      <c r="BK255" s="135"/>
      <c r="BL255" s="135"/>
      <c r="BM255" s="135"/>
      <c r="BN255" s="135"/>
      <c r="BO255" s="135"/>
      <c r="BP255" s="135"/>
      <c r="BQ255" s="135"/>
      <c r="BR255" s="135"/>
      <c r="BS255" s="135"/>
      <c r="BT255" s="135"/>
      <c r="BU255" s="135"/>
      <c r="BV255" s="135"/>
      <c r="BW255" s="135"/>
      <c r="BX255" s="135"/>
      <c r="BY255" s="135"/>
      <c r="BZ255" s="135"/>
      <c r="CA255" s="135"/>
      <c r="CB255" s="135"/>
      <c r="CC255" s="135"/>
      <c r="CD255" s="135"/>
      <c r="CE255" s="135"/>
      <c r="CF255" s="135"/>
      <c r="CG255" s="135"/>
      <c r="CH255" s="135"/>
      <c r="CI255" s="135"/>
      <c r="CJ255" s="135"/>
      <c r="CK255" s="135"/>
      <c r="CL255" s="135"/>
      <c r="CM255" s="135"/>
      <c r="CN255" s="135"/>
      <c r="CO255" s="135"/>
      <c r="CP255" s="135"/>
      <c r="CQ255" s="135"/>
      <c r="CR255" s="135"/>
      <c r="CS255" s="135"/>
      <c r="CT255" s="135"/>
      <c r="CU255" s="135"/>
      <c r="CV255" s="135"/>
      <c r="CW255" s="135"/>
      <c r="CX255" s="136"/>
    </row>
    <row r="256" spans="2:102">
      <c r="B256" s="133"/>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c r="AB256" s="135"/>
      <c r="AC256" s="135"/>
      <c r="AD256" s="135"/>
      <c r="AE256" s="135"/>
      <c r="AF256" s="135"/>
      <c r="AG256" s="135"/>
      <c r="AH256" s="135"/>
      <c r="AI256" s="135"/>
      <c r="AJ256" s="135"/>
      <c r="AK256" s="135"/>
      <c r="AL256" s="135"/>
      <c r="AM256" s="135"/>
      <c r="AN256" s="135"/>
      <c r="AO256" s="135"/>
      <c r="AP256" s="135"/>
      <c r="AQ256" s="135"/>
      <c r="AR256" s="135"/>
      <c r="AS256" s="135"/>
      <c r="AT256" s="135"/>
      <c r="AU256" s="135"/>
      <c r="AV256" s="135"/>
      <c r="AW256" s="135"/>
      <c r="AX256" s="135"/>
      <c r="AY256" s="135"/>
      <c r="AZ256" s="135"/>
      <c r="BA256" s="135"/>
      <c r="BB256" s="135"/>
      <c r="BC256" s="135"/>
      <c r="BD256" s="135"/>
      <c r="BE256" s="135"/>
      <c r="BF256" s="135"/>
      <c r="BG256" s="135"/>
      <c r="BH256" s="135"/>
      <c r="BI256" s="135"/>
      <c r="BJ256" s="135"/>
      <c r="BK256" s="135"/>
      <c r="BL256" s="135"/>
      <c r="BM256" s="135"/>
      <c r="BN256" s="135"/>
      <c r="BO256" s="135"/>
      <c r="BP256" s="135"/>
      <c r="BQ256" s="135"/>
      <c r="BR256" s="135"/>
      <c r="BS256" s="135"/>
      <c r="BT256" s="135"/>
      <c r="BU256" s="135"/>
      <c r="BV256" s="135"/>
      <c r="BW256" s="135"/>
      <c r="BX256" s="135"/>
      <c r="BY256" s="135"/>
      <c r="BZ256" s="135"/>
      <c r="CA256" s="135"/>
      <c r="CB256" s="135"/>
      <c r="CC256" s="135"/>
      <c r="CD256" s="135"/>
      <c r="CE256" s="135"/>
      <c r="CF256" s="135"/>
      <c r="CG256" s="135"/>
      <c r="CH256" s="135"/>
      <c r="CI256" s="135"/>
      <c r="CJ256" s="135"/>
      <c r="CK256" s="135"/>
      <c r="CL256" s="135"/>
      <c r="CM256" s="135"/>
      <c r="CN256" s="135"/>
      <c r="CO256" s="135"/>
      <c r="CP256" s="135"/>
      <c r="CQ256" s="135"/>
      <c r="CR256" s="135"/>
      <c r="CS256" s="135"/>
      <c r="CT256" s="135"/>
      <c r="CU256" s="135"/>
      <c r="CV256" s="135"/>
      <c r="CW256" s="135"/>
      <c r="CX256" s="136"/>
    </row>
    <row r="257" spans="2:102">
      <c r="B257" s="133"/>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c r="AB257" s="135"/>
      <c r="AC257" s="135"/>
      <c r="AD257" s="135"/>
      <c r="AE257" s="135"/>
      <c r="AF257" s="135"/>
      <c r="AG257" s="135"/>
      <c r="AH257" s="135"/>
      <c r="AI257" s="135"/>
      <c r="AJ257" s="135"/>
      <c r="AK257" s="135"/>
      <c r="AL257" s="135"/>
      <c r="AM257" s="135"/>
      <c r="AN257" s="135"/>
      <c r="AO257" s="135"/>
      <c r="AP257" s="135"/>
      <c r="AQ257" s="135"/>
      <c r="AR257" s="135"/>
      <c r="AS257" s="135"/>
      <c r="AT257" s="135"/>
      <c r="AU257" s="135"/>
      <c r="AV257" s="135"/>
      <c r="AW257" s="135"/>
      <c r="AX257" s="135"/>
      <c r="AY257" s="135"/>
      <c r="AZ257" s="135"/>
      <c r="BA257" s="135"/>
      <c r="BB257" s="135"/>
      <c r="BC257" s="135"/>
      <c r="BD257" s="135"/>
      <c r="BE257" s="135"/>
      <c r="BF257" s="135"/>
      <c r="BG257" s="135"/>
      <c r="BH257" s="135"/>
      <c r="BI257" s="135"/>
      <c r="BJ257" s="135"/>
      <c r="BK257" s="135"/>
      <c r="BL257" s="135"/>
      <c r="BM257" s="135"/>
      <c r="BN257" s="135"/>
      <c r="BO257" s="135"/>
      <c r="BP257" s="135"/>
      <c r="BQ257" s="135"/>
      <c r="BR257" s="135"/>
      <c r="BS257" s="135"/>
      <c r="BT257" s="135"/>
      <c r="BU257" s="135"/>
      <c r="BV257" s="135"/>
      <c r="BW257" s="135"/>
      <c r="BX257" s="135"/>
      <c r="BY257" s="135"/>
      <c r="BZ257" s="135"/>
      <c r="CA257" s="135"/>
      <c r="CB257" s="135"/>
      <c r="CC257" s="135"/>
      <c r="CD257" s="135"/>
      <c r="CE257" s="135"/>
      <c r="CF257" s="135"/>
      <c r="CG257" s="135"/>
      <c r="CH257" s="135"/>
      <c r="CI257" s="135"/>
      <c r="CJ257" s="135"/>
      <c r="CK257" s="135"/>
      <c r="CL257" s="135"/>
      <c r="CM257" s="135"/>
      <c r="CN257" s="135"/>
      <c r="CO257" s="135"/>
      <c r="CP257" s="135"/>
      <c r="CQ257" s="135"/>
      <c r="CR257" s="135"/>
      <c r="CS257" s="135"/>
      <c r="CT257" s="135"/>
      <c r="CU257" s="135"/>
      <c r="CV257" s="135"/>
      <c r="CW257" s="135"/>
      <c r="CX257" s="136"/>
    </row>
    <row r="258" spans="2:102">
      <c r="B258" s="133"/>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c r="AB258" s="135"/>
      <c r="AC258" s="135"/>
      <c r="AD258" s="135"/>
      <c r="AE258" s="135"/>
      <c r="AF258" s="135"/>
      <c r="AG258" s="135"/>
      <c r="AH258" s="135"/>
      <c r="AI258" s="135"/>
      <c r="AJ258" s="135"/>
      <c r="AK258" s="135"/>
      <c r="AL258" s="135"/>
      <c r="AM258" s="135"/>
      <c r="AN258" s="135"/>
      <c r="AO258" s="135"/>
      <c r="AP258" s="135"/>
      <c r="AQ258" s="135"/>
      <c r="AR258" s="135"/>
      <c r="AS258" s="135"/>
      <c r="AT258" s="135"/>
      <c r="AU258" s="135"/>
      <c r="AV258" s="135"/>
      <c r="AW258" s="135"/>
      <c r="AX258" s="135"/>
      <c r="AY258" s="135"/>
      <c r="AZ258" s="135"/>
      <c r="BA258" s="135"/>
      <c r="BB258" s="135"/>
      <c r="BC258" s="135"/>
      <c r="BD258" s="135"/>
      <c r="BE258" s="135"/>
      <c r="BF258" s="135"/>
      <c r="BG258" s="135"/>
      <c r="BH258" s="135"/>
      <c r="BI258" s="135"/>
      <c r="BJ258" s="135"/>
      <c r="BK258" s="135"/>
      <c r="BL258" s="135"/>
      <c r="BM258" s="135"/>
      <c r="BN258" s="135"/>
      <c r="BO258" s="135"/>
      <c r="BP258" s="135"/>
      <c r="BQ258" s="135"/>
      <c r="BR258" s="135"/>
      <c r="BS258" s="135"/>
      <c r="BT258" s="135"/>
      <c r="BU258" s="135"/>
      <c r="BV258" s="135"/>
      <c r="BW258" s="135"/>
      <c r="BX258" s="135"/>
      <c r="BY258" s="135"/>
      <c r="BZ258" s="135"/>
      <c r="CA258" s="135"/>
      <c r="CB258" s="135"/>
      <c r="CC258" s="135"/>
      <c r="CD258" s="135"/>
      <c r="CE258" s="135"/>
      <c r="CF258" s="135"/>
      <c r="CG258" s="135"/>
      <c r="CH258" s="135"/>
      <c r="CI258" s="135"/>
      <c r="CJ258" s="135"/>
      <c r="CK258" s="135"/>
      <c r="CL258" s="135"/>
      <c r="CM258" s="135"/>
      <c r="CN258" s="135"/>
      <c r="CO258" s="135"/>
      <c r="CP258" s="135"/>
      <c r="CQ258" s="135"/>
      <c r="CR258" s="135"/>
      <c r="CS258" s="135"/>
      <c r="CT258" s="135"/>
      <c r="CU258" s="135"/>
      <c r="CV258" s="135"/>
      <c r="CW258" s="135"/>
      <c r="CX258" s="136"/>
    </row>
    <row r="259" spans="2:102">
      <c r="B259" s="133"/>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c r="AB259" s="135"/>
      <c r="AC259" s="135"/>
      <c r="AD259" s="135"/>
      <c r="AE259" s="135"/>
      <c r="AF259" s="135"/>
      <c r="AG259" s="135"/>
      <c r="AH259" s="135"/>
      <c r="AI259" s="135"/>
      <c r="AJ259" s="135"/>
      <c r="AK259" s="135"/>
      <c r="AL259" s="135"/>
      <c r="AM259" s="135"/>
      <c r="AN259" s="135"/>
      <c r="AO259" s="135"/>
      <c r="AP259" s="135"/>
      <c r="AQ259" s="135"/>
      <c r="AR259" s="135"/>
      <c r="AS259" s="135"/>
      <c r="AT259" s="135"/>
      <c r="AU259" s="135"/>
      <c r="AV259" s="135"/>
      <c r="AW259" s="135"/>
      <c r="AX259" s="135"/>
      <c r="AY259" s="135"/>
      <c r="AZ259" s="135"/>
      <c r="BA259" s="135"/>
      <c r="BB259" s="135"/>
      <c r="BC259" s="135"/>
      <c r="BD259" s="135"/>
      <c r="BE259" s="135"/>
      <c r="BF259" s="135"/>
      <c r="BG259" s="135"/>
      <c r="BH259" s="135"/>
      <c r="BI259" s="135"/>
      <c r="BJ259" s="135"/>
      <c r="BK259" s="135"/>
      <c r="BL259" s="135"/>
      <c r="BM259" s="135"/>
      <c r="BN259" s="135"/>
      <c r="BO259" s="135"/>
      <c r="BP259" s="135"/>
      <c r="BQ259" s="135"/>
      <c r="BR259" s="135"/>
      <c r="BS259" s="135"/>
      <c r="BT259" s="135"/>
      <c r="BU259" s="135"/>
      <c r="BV259" s="135"/>
      <c r="BW259" s="135"/>
      <c r="BX259" s="135"/>
      <c r="BY259" s="135"/>
      <c r="BZ259" s="135"/>
      <c r="CA259" s="135"/>
      <c r="CB259" s="135"/>
      <c r="CC259" s="135"/>
      <c r="CD259" s="135"/>
      <c r="CE259" s="135"/>
      <c r="CF259" s="135"/>
      <c r="CG259" s="135"/>
      <c r="CH259" s="135"/>
      <c r="CI259" s="135"/>
      <c r="CJ259" s="135"/>
      <c r="CK259" s="135"/>
      <c r="CL259" s="135"/>
      <c r="CM259" s="135"/>
      <c r="CN259" s="135"/>
      <c r="CO259" s="135"/>
      <c r="CP259" s="135"/>
      <c r="CQ259" s="135"/>
      <c r="CR259" s="135"/>
      <c r="CS259" s="135"/>
      <c r="CT259" s="135"/>
      <c r="CU259" s="135"/>
      <c r="CV259" s="135"/>
      <c r="CW259" s="135"/>
      <c r="CX259" s="136"/>
    </row>
    <row r="260" spans="2:102">
      <c r="B260" s="133"/>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c r="AB260" s="135"/>
      <c r="AC260" s="135"/>
      <c r="AD260" s="135"/>
      <c r="AE260" s="135"/>
      <c r="AF260" s="135"/>
      <c r="AG260" s="135"/>
      <c r="AH260" s="135"/>
      <c r="AI260" s="135"/>
      <c r="AJ260" s="135"/>
      <c r="AK260" s="135"/>
      <c r="AL260" s="135"/>
      <c r="AM260" s="135"/>
      <c r="AN260" s="135"/>
      <c r="AO260" s="135"/>
      <c r="AP260" s="135"/>
      <c r="AQ260" s="135"/>
      <c r="AR260" s="135"/>
      <c r="AS260" s="135"/>
      <c r="AT260" s="135"/>
      <c r="AU260" s="135"/>
      <c r="AV260" s="135"/>
      <c r="AW260" s="135"/>
      <c r="AX260" s="135"/>
      <c r="AY260" s="135"/>
      <c r="AZ260" s="135"/>
      <c r="BA260" s="135"/>
      <c r="BB260" s="135"/>
      <c r="BC260" s="135"/>
      <c r="BD260" s="135"/>
      <c r="BE260" s="135"/>
      <c r="BF260" s="135"/>
      <c r="BG260" s="135"/>
      <c r="BH260" s="135"/>
      <c r="BI260" s="135"/>
      <c r="BJ260" s="135"/>
      <c r="BK260" s="135"/>
      <c r="BL260" s="135"/>
      <c r="BM260" s="135"/>
      <c r="BN260" s="135"/>
      <c r="BO260" s="135"/>
      <c r="BP260" s="135"/>
      <c r="BQ260" s="135"/>
      <c r="BR260" s="135"/>
      <c r="BS260" s="135"/>
      <c r="BT260" s="135"/>
      <c r="BU260" s="135"/>
      <c r="BV260" s="135"/>
      <c r="BW260" s="135"/>
      <c r="BX260" s="135"/>
      <c r="BY260" s="135"/>
      <c r="BZ260" s="135"/>
      <c r="CA260" s="135"/>
      <c r="CB260" s="135"/>
      <c r="CC260" s="135"/>
      <c r="CD260" s="135"/>
      <c r="CE260" s="135"/>
      <c r="CF260" s="135"/>
      <c r="CG260" s="135"/>
      <c r="CH260" s="135"/>
      <c r="CI260" s="135"/>
      <c r="CJ260" s="135"/>
      <c r="CK260" s="135"/>
      <c r="CL260" s="135"/>
      <c r="CM260" s="135"/>
      <c r="CN260" s="135"/>
      <c r="CO260" s="135"/>
      <c r="CP260" s="135"/>
      <c r="CQ260" s="135"/>
      <c r="CR260" s="135"/>
      <c r="CS260" s="135"/>
      <c r="CT260" s="135"/>
      <c r="CU260" s="135"/>
      <c r="CV260" s="135"/>
      <c r="CW260" s="135"/>
      <c r="CX260" s="136"/>
    </row>
    <row r="261" spans="2:102">
      <c r="B261" s="133"/>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c r="AB261" s="135"/>
      <c r="AC261" s="135"/>
      <c r="AD261" s="135"/>
      <c r="AE261" s="135"/>
      <c r="AF261" s="135"/>
      <c r="AG261" s="135"/>
      <c r="AH261" s="135"/>
      <c r="AI261" s="135"/>
      <c r="AJ261" s="135"/>
      <c r="AK261" s="135"/>
      <c r="AL261" s="135"/>
      <c r="AM261" s="135"/>
      <c r="AN261" s="135"/>
      <c r="AO261" s="135"/>
      <c r="AP261" s="135"/>
      <c r="AQ261" s="135"/>
      <c r="AR261" s="135"/>
      <c r="AS261" s="135"/>
      <c r="AT261" s="135"/>
      <c r="AU261" s="135"/>
      <c r="AV261" s="135"/>
      <c r="AW261" s="135"/>
      <c r="AX261" s="135"/>
      <c r="AY261" s="135"/>
      <c r="AZ261" s="135"/>
      <c r="BA261" s="135"/>
      <c r="BB261" s="135"/>
      <c r="BC261" s="135"/>
      <c r="BD261" s="135"/>
      <c r="BE261" s="135"/>
      <c r="BF261" s="135"/>
      <c r="BG261" s="135"/>
      <c r="BH261" s="135"/>
      <c r="BI261" s="135"/>
      <c r="BJ261" s="135"/>
      <c r="BK261" s="135"/>
      <c r="BL261" s="135"/>
      <c r="BM261" s="135"/>
      <c r="BN261" s="135"/>
      <c r="BO261" s="135"/>
      <c r="BP261" s="135"/>
      <c r="BQ261" s="135"/>
      <c r="BR261" s="135"/>
      <c r="BS261" s="135"/>
      <c r="BT261" s="135"/>
      <c r="BU261" s="135"/>
      <c r="BV261" s="135"/>
      <c r="BW261" s="135"/>
      <c r="BX261" s="135"/>
      <c r="BY261" s="135"/>
      <c r="BZ261" s="135"/>
      <c r="CA261" s="135"/>
      <c r="CB261" s="135"/>
      <c r="CC261" s="135"/>
      <c r="CD261" s="135"/>
      <c r="CE261" s="135"/>
      <c r="CF261" s="135"/>
      <c r="CG261" s="135"/>
      <c r="CH261" s="135"/>
      <c r="CI261" s="135"/>
      <c r="CJ261" s="135"/>
      <c r="CK261" s="135"/>
      <c r="CL261" s="135"/>
      <c r="CM261" s="135"/>
      <c r="CN261" s="135"/>
      <c r="CO261" s="135"/>
      <c r="CP261" s="135"/>
      <c r="CQ261" s="135"/>
      <c r="CR261" s="135"/>
      <c r="CS261" s="135"/>
      <c r="CT261" s="135"/>
      <c r="CU261" s="135"/>
      <c r="CV261" s="135"/>
      <c r="CW261" s="135"/>
      <c r="CX261" s="136"/>
    </row>
    <row r="262" spans="2:102">
      <c r="B262" s="133"/>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c r="AB262" s="135"/>
      <c r="AC262" s="135"/>
      <c r="AD262" s="135"/>
      <c r="AE262" s="135"/>
      <c r="AF262" s="135"/>
      <c r="AG262" s="135"/>
      <c r="AH262" s="135"/>
      <c r="AI262" s="135"/>
      <c r="AJ262" s="135"/>
      <c r="AK262" s="135"/>
      <c r="AL262" s="135"/>
      <c r="AM262" s="135"/>
      <c r="AN262" s="135"/>
      <c r="AO262" s="135"/>
      <c r="AP262" s="135"/>
      <c r="AQ262" s="135"/>
      <c r="AR262" s="135"/>
      <c r="AS262" s="135"/>
      <c r="AT262" s="135"/>
      <c r="AU262" s="135"/>
      <c r="AV262" s="135"/>
      <c r="AW262" s="135"/>
      <c r="AX262" s="135"/>
      <c r="AY262" s="135"/>
      <c r="AZ262" s="135"/>
      <c r="BA262" s="135"/>
      <c r="BB262" s="135"/>
      <c r="BC262" s="135"/>
      <c r="BD262" s="135"/>
      <c r="BE262" s="135"/>
      <c r="BF262" s="135"/>
      <c r="BG262" s="135"/>
      <c r="BH262" s="135"/>
      <c r="BI262" s="135"/>
      <c r="BJ262" s="135"/>
      <c r="BK262" s="135"/>
      <c r="BL262" s="135"/>
      <c r="BM262" s="135"/>
      <c r="BN262" s="135"/>
      <c r="BO262" s="135"/>
      <c r="BP262" s="135"/>
      <c r="BQ262" s="135"/>
      <c r="BR262" s="135"/>
      <c r="BS262" s="135"/>
      <c r="BT262" s="135"/>
      <c r="BU262" s="135"/>
      <c r="BV262" s="135"/>
      <c r="BW262" s="135"/>
      <c r="BX262" s="135"/>
      <c r="BY262" s="135"/>
      <c r="BZ262" s="135"/>
      <c r="CA262" s="135"/>
      <c r="CB262" s="135"/>
      <c r="CC262" s="135"/>
      <c r="CD262" s="135"/>
      <c r="CE262" s="135"/>
      <c r="CF262" s="135"/>
      <c r="CG262" s="135"/>
      <c r="CH262" s="135"/>
      <c r="CI262" s="135"/>
      <c r="CJ262" s="135"/>
      <c r="CK262" s="135"/>
      <c r="CL262" s="135"/>
      <c r="CM262" s="135"/>
      <c r="CN262" s="135"/>
      <c r="CO262" s="135"/>
      <c r="CP262" s="135"/>
      <c r="CQ262" s="135"/>
      <c r="CR262" s="135"/>
      <c r="CS262" s="135"/>
      <c r="CT262" s="135"/>
      <c r="CU262" s="135"/>
      <c r="CV262" s="135"/>
      <c r="CW262" s="135"/>
      <c r="CX262" s="136"/>
    </row>
    <row r="263" spans="2:102">
      <c r="B263" s="133"/>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c r="AB263" s="135"/>
      <c r="AC263" s="135"/>
      <c r="AD263" s="135"/>
      <c r="AE263" s="135"/>
      <c r="AF263" s="135"/>
      <c r="AG263" s="135"/>
      <c r="AH263" s="135"/>
      <c r="AI263" s="135"/>
      <c r="AJ263" s="135"/>
      <c r="AK263" s="135"/>
      <c r="AL263" s="135"/>
      <c r="AM263" s="135"/>
      <c r="AN263" s="135"/>
      <c r="AO263" s="135"/>
      <c r="AP263" s="135"/>
      <c r="AQ263" s="135"/>
      <c r="AR263" s="135"/>
      <c r="AS263" s="135"/>
      <c r="AT263" s="135"/>
      <c r="AU263" s="135"/>
      <c r="AV263" s="135"/>
      <c r="AW263" s="135"/>
      <c r="AX263" s="135"/>
      <c r="AY263" s="135"/>
      <c r="AZ263" s="135"/>
      <c r="BA263" s="135"/>
      <c r="BB263" s="135"/>
      <c r="BC263" s="135"/>
      <c r="BD263" s="135"/>
      <c r="BE263" s="135"/>
      <c r="BF263" s="135"/>
      <c r="BG263" s="135"/>
      <c r="BH263" s="135"/>
      <c r="BI263" s="135"/>
      <c r="BJ263" s="135"/>
      <c r="BK263" s="135"/>
      <c r="BL263" s="135"/>
      <c r="BM263" s="135"/>
      <c r="BN263" s="135"/>
      <c r="BO263" s="135"/>
      <c r="BP263" s="135"/>
      <c r="BQ263" s="135"/>
      <c r="BR263" s="135"/>
      <c r="BS263" s="135"/>
      <c r="BT263" s="135"/>
      <c r="BU263" s="135"/>
      <c r="BV263" s="135"/>
      <c r="BW263" s="135"/>
      <c r="BX263" s="135"/>
      <c r="BY263" s="135"/>
      <c r="BZ263" s="135"/>
      <c r="CA263" s="135"/>
      <c r="CB263" s="135"/>
      <c r="CC263" s="135"/>
      <c r="CD263" s="135"/>
      <c r="CE263" s="135"/>
      <c r="CF263" s="135"/>
      <c r="CG263" s="135"/>
      <c r="CH263" s="135"/>
      <c r="CI263" s="135"/>
      <c r="CJ263" s="135"/>
      <c r="CK263" s="135"/>
      <c r="CL263" s="135"/>
      <c r="CM263" s="135"/>
      <c r="CN263" s="135"/>
      <c r="CO263" s="135"/>
      <c r="CP263" s="135"/>
      <c r="CQ263" s="135"/>
      <c r="CR263" s="135"/>
      <c r="CS263" s="135"/>
      <c r="CT263" s="135"/>
      <c r="CU263" s="135"/>
      <c r="CV263" s="135"/>
      <c r="CW263" s="135"/>
      <c r="CX263" s="136"/>
    </row>
    <row r="264" spans="2:102">
      <c r="B264" s="133"/>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c r="AB264" s="135"/>
      <c r="AC264" s="135"/>
      <c r="AD264" s="135"/>
      <c r="AE264" s="135"/>
      <c r="AF264" s="135"/>
      <c r="AG264" s="135"/>
      <c r="AH264" s="135"/>
      <c r="AI264" s="135"/>
      <c r="AJ264" s="135"/>
      <c r="AK264" s="135"/>
      <c r="AL264" s="135"/>
      <c r="AM264" s="135"/>
      <c r="AN264" s="135"/>
      <c r="AO264" s="135"/>
      <c r="AP264" s="135"/>
      <c r="AQ264" s="135"/>
      <c r="AR264" s="135"/>
      <c r="AS264" s="135"/>
      <c r="AT264" s="135"/>
      <c r="AU264" s="135"/>
      <c r="AV264" s="135"/>
      <c r="AW264" s="135"/>
      <c r="AX264" s="135"/>
      <c r="AY264" s="135"/>
      <c r="AZ264" s="135"/>
      <c r="BA264" s="135"/>
      <c r="BB264" s="135"/>
      <c r="BC264" s="135"/>
      <c r="BD264" s="135"/>
      <c r="BE264" s="135"/>
      <c r="BF264" s="135"/>
      <c r="BG264" s="135"/>
      <c r="BH264" s="135"/>
      <c r="BI264" s="135"/>
      <c r="BJ264" s="135"/>
      <c r="BK264" s="135"/>
      <c r="BL264" s="135"/>
      <c r="BM264" s="135"/>
      <c r="BN264" s="135"/>
      <c r="BO264" s="135"/>
      <c r="BP264" s="135"/>
      <c r="BQ264" s="135"/>
      <c r="BR264" s="135"/>
      <c r="BS264" s="135"/>
      <c r="BT264" s="135"/>
      <c r="BU264" s="135"/>
      <c r="BV264" s="135"/>
      <c r="BW264" s="135"/>
      <c r="BX264" s="135"/>
      <c r="BY264" s="135"/>
      <c r="BZ264" s="135"/>
      <c r="CA264" s="135"/>
      <c r="CB264" s="135"/>
      <c r="CC264" s="135"/>
      <c r="CD264" s="135"/>
      <c r="CE264" s="135"/>
      <c r="CF264" s="135"/>
      <c r="CG264" s="135"/>
      <c r="CH264" s="135"/>
      <c r="CI264" s="135"/>
      <c r="CJ264" s="135"/>
      <c r="CK264" s="135"/>
      <c r="CL264" s="135"/>
      <c r="CM264" s="135"/>
      <c r="CN264" s="135"/>
      <c r="CO264" s="135"/>
      <c r="CP264" s="135"/>
      <c r="CQ264" s="135"/>
      <c r="CR264" s="135"/>
      <c r="CS264" s="135"/>
      <c r="CT264" s="135"/>
      <c r="CU264" s="135"/>
      <c r="CV264" s="135"/>
      <c r="CW264" s="135"/>
      <c r="CX264" s="136"/>
    </row>
    <row r="265" spans="2:102">
      <c r="B265" s="133"/>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c r="AB265" s="135"/>
      <c r="AC265" s="135"/>
      <c r="AD265" s="135"/>
      <c r="AE265" s="135"/>
      <c r="AF265" s="135"/>
      <c r="AG265" s="135"/>
      <c r="AH265" s="135"/>
      <c r="AI265" s="135"/>
      <c r="AJ265" s="135"/>
      <c r="AK265" s="135"/>
      <c r="AL265" s="135"/>
      <c r="AM265" s="135"/>
      <c r="AN265" s="135"/>
      <c r="AO265" s="135"/>
      <c r="AP265" s="135"/>
      <c r="AQ265" s="135"/>
      <c r="AR265" s="135"/>
      <c r="AS265" s="135"/>
      <c r="AT265" s="135"/>
      <c r="AU265" s="135"/>
      <c r="AV265" s="135"/>
      <c r="AW265" s="135"/>
      <c r="AX265" s="135"/>
      <c r="AY265" s="135"/>
      <c r="AZ265" s="135"/>
      <c r="BA265" s="135"/>
      <c r="BB265" s="135"/>
      <c r="BC265" s="135"/>
      <c r="BD265" s="135"/>
      <c r="BE265" s="135"/>
      <c r="BF265" s="135"/>
      <c r="BG265" s="135"/>
      <c r="BH265" s="135"/>
      <c r="BI265" s="135"/>
      <c r="BJ265" s="135"/>
      <c r="BK265" s="135"/>
      <c r="BL265" s="135"/>
      <c r="BM265" s="135"/>
      <c r="BN265" s="135"/>
      <c r="BO265" s="135"/>
      <c r="BP265" s="135"/>
      <c r="BQ265" s="135"/>
      <c r="BR265" s="135"/>
      <c r="BS265" s="135"/>
      <c r="BT265" s="135"/>
      <c r="BU265" s="135"/>
      <c r="BV265" s="135"/>
      <c r="BW265" s="135"/>
      <c r="BX265" s="135"/>
      <c r="BY265" s="135"/>
      <c r="BZ265" s="135"/>
      <c r="CA265" s="135"/>
      <c r="CB265" s="135"/>
      <c r="CC265" s="135"/>
      <c r="CD265" s="135"/>
      <c r="CE265" s="135"/>
      <c r="CF265" s="135"/>
      <c r="CG265" s="135"/>
      <c r="CH265" s="135"/>
      <c r="CI265" s="135"/>
      <c r="CJ265" s="135"/>
      <c r="CK265" s="135"/>
      <c r="CL265" s="135"/>
      <c r="CM265" s="135"/>
      <c r="CN265" s="135"/>
      <c r="CO265" s="135"/>
      <c r="CP265" s="135"/>
      <c r="CQ265" s="135"/>
      <c r="CR265" s="135"/>
      <c r="CS265" s="135"/>
      <c r="CT265" s="135"/>
      <c r="CU265" s="135"/>
      <c r="CV265" s="135"/>
      <c r="CW265" s="135"/>
      <c r="CX265" s="136"/>
    </row>
    <row r="266" spans="2:102">
      <c r="B266" s="133"/>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c r="AB266" s="135"/>
      <c r="AC266" s="135"/>
      <c r="AD266" s="135"/>
      <c r="AE266" s="135"/>
      <c r="AF266" s="135"/>
      <c r="AG266" s="135"/>
      <c r="AH266" s="135"/>
      <c r="AI266" s="135"/>
      <c r="AJ266" s="135"/>
      <c r="AK266" s="135"/>
      <c r="AL266" s="135"/>
      <c r="AM266" s="135"/>
      <c r="AN266" s="135"/>
      <c r="AO266" s="135"/>
      <c r="AP266" s="135"/>
      <c r="AQ266" s="135"/>
      <c r="AR266" s="135"/>
      <c r="AS266" s="135"/>
      <c r="AT266" s="135"/>
      <c r="AU266" s="135"/>
      <c r="AV266" s="135"/>
      <c r="AW266" s="135"/>
      <c r="AX266" s="135"/>
      <c r="AY266" s="135"/>
      <c r="AZ266" s="135"/>
      <c r="BA266" s="135"/>
      <c r="BB266" s="135"/>
      <c r="BC266" s="135"/>
      <c r="BD266" s="135"/>
      <c r="BE266" s="135"/>
      <c r="BF266" s="135"/>
      <c r="BG266" s="135"/>
      <c r="BH266" s="135"/>
      <c r="BI266" s="135"/>
      <c r="BJ266" s="135"/>
      <c r="BK266" s="135"/>
      <c r="BL266" s="135"/>
      <c r="BM266" s="135"/>
      <c r="BN266" s="135"/>
      <c r="BO266" s="135"/>
      <c r="BP266" s="135"/>
      <c r="BQ266" s="135"/>
      <c r="BR266" s="135"/>
      <c r="BS266" s="135"/>
      <c r="BT266" s="135"/>
      <c r="BU266" s="135"/>
      <c r="BV266" s="135"/>
      <c r="BW266" s="135"/>
      <c r="BX266" s="135"/>
      <c r="BY266" s="135"/>
      <c r="BZ266" s="135"/>
      <c r="CA266" s="135"/>
      <c r="CB266" s="135"/>
      <c r="CC266" s="135"/>
      <c r="CD266" s="135"/>
      <c r="CE266" s="135"/>
      <c r="CF266" s="135"/>
      <c r="CG266" s="135"/>
      <c r="CH266" s="135"/>
      <c r="CI266" s="135"/>
      <c r="CJ266" s="135"/>
      <c r="CK266" s="135"/>
      <c r="CL266" s="135"/>
      <c r="CM266" s="135"/>
      <c r="CN266" s="135"/>
      <c r="CO266" s="135"/>
      <c r="CP266" s="135"/>
      <c r="CQ266" s="135"/>
      <c r="CR266" s="135"/>
      <c r="CS266" s="135"/>
      <c r="CT266" s="135"/>
      <c r="CU266" s="135"/>
      <c r="CV266" s="135"/>
      <c r="CW266" s="135"/>
      <c r="CX266" s="136"/>
    </row>
    <row r="267" spans="2:102">
      <c r="B267" s="133"/>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c r="AB267" s="135"/>
      <c r="AC267" s="135"/>
      <c r="AD267" s="135"/>
      <c r="AE267" s="135"/>
      <c r="AF267" s="135"/>
      <c r="AG267" s="135"/>
      <c r="AH267" s="135"/>
      <c r="AI267" s="135"/>
      <c r="AJ267" s="135"/>
      <c r="AK267" s="135"/>
      <c r="AL267" s="135"/>
      <c r="AM267" s="135"/>
      <c r="AN267" s="135"/>
      <c r="AO267" s="135"/>
      <c r="AP267" s="135"/>
      <c r="AQ267" s="135"/>
      <c r="AR267" s="135"/>
      <c r="AS267" s="135"/>
      <c r="AT267" s="135"/>
      <c r="AU267" s="135"/>
      <c r="AV267" s="135"/>
      <c r="AW267" s="135"/>
      <c r="AX267" s="135"/>
      <c r="AY267" s="135"/>
      <c r="AZ267" s="135"/>
      <c r="BA267" s="135"/>
      <c r="BB267" s="135"/>
      <c r="BC267" s="135"/>
      <c r="BD267" s="135"/>
      <c r="BE267" s="135"/>
      <c r="BF267" s="135"/>
      <c r="BG267" s="135"/>
      <c r="BH267" s="135"/>
      <c r="BI267" s="135"/>
      <c r="BJ267" s="135"/>
      <c r="BK267" s="135"/>
      <c r="BL267" s="135"/>
      <c r="BM267" s="135"/>
      <c r="BN267" s="135"/>
      <c r="BO267" s="135"/>
      <c r="BP267" s="135"/>
      <c r="BQ267" s="135"/>
      <c r="BR267" s="135"/>
      <c r="BS267" s="135"/>
      <c r="BT267" s="135"/>
      <c r="BU267" s="135"/>
      <c r="BV267" s="135"/>
      <c r="BW267" s="135"/>
      <c r="BX267" s="135"/>
      <c r="BY267" s="135"/>
      <c r="BZ267" s="135"/>
      <c r="CA267" s="135"/>
      <c r="CB267" s="135"/>
      <c r="CC267" s="135"/>
      <c r="CD267" s="135"/>
      <c r="CE267" s="135"/>
      <c r="CF267" s="135"/>
      <c r="CG267" s="135"/>
      <c r="CH267" s="135"/>
      <c r="CI267" s="135"/>
      <c r="CJ267" s="135"/>
      <c r="CK267" s="135"/>
      <c r="CL267" s="135"/>
      <c r="CM267" s="135"/>
      <c r="CN267" s="135"/>
      <c r="CO267" s="135"/>
      <c r="CP267" s="135"/>
      <c r="CQ267" s="135"/>
      <c r="CR267" s="135"/>
      <c r="CS267" s="135"/>
      <c r="CT267" s="135"/>
      <c r="CU267" s="135"/>
      <c r="CV267" s="135"/>
      <c r="CW267" s="135"/>
      <c r="CX267" s="136"/>
    </row>
    <row r="268" spans="2:102">
      <c r="B268" s="133"/>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c r="AB268" s="135"/>
      <c r="AC268" s="135"/>
      <c r="AD268" s="135"/>
      <c r="AE268" s="135"/>
      <c r="AF268" s="135"/>
      <c r="AG268" s="135"/>
      <c r="AH268" s="135"/>
      <c r="AI268" s="135"/>
      <c r="AJ268" s="135"/>
      <c r="AK268" s="135"/>
      <c r="AL268" s="135"/>
      <c r="AM268" s="135"/>
      <c r="AN268" s="135"/>
      <c r="AO268" s="135"/>
      <c r="AP268" s="135"/>
      <c r="AQ268" s="135"/>
      <c r="AR268" s="135"/>
      <c r="AS268" s="135"/>
      <c r="AT268" s="135"/>
      <c r="AU268" s="135"/>
      <c r="AV268" s="135"/>
      <c r="AW268" s="135"/>
      <c r="AX268" s="135"/>
      <c r="AY268" s="135"/>
      <c r="AZ268" s="135"/>
      <c r="BA268" s="135"/>
      <c r="BB268" s="135"/>
      <c r="BC268" s="135"/>
      <c r="BD268" s="135"/>
      <c r="BE268" s="135"/>
      <c r="BF268" s="135"/>
      <c r="BG268" s="135"/>
      <c r="BH268" s="135"/>
      <c r="BI268" s="135"/>
      <c r="BJ268" s="135"/>
      <c r="BK268" s="135"/>
      <c r="BL268" s="135"/>
      <c r="BM268" s="135"/>
      <c r="BN268" s="135"/>
      <c r="BO268" s="135"/>
      <c r="BP268" s="135"/>
      <c r="BQ268" s="135"/>
      <c r="BR268" s="135"/>
      <c r="BS268" s="135"/>
      <c r="BT268" s="135"/>
      <c r="BU268" s="135"/>
      <c r="BV268" s="135"/>
      <c r="BW268" s="135"/>
      <c r="BX268" s="135"/>
      <c r="BY268" s="135"/>
      <c r="BZ268" s="135"/>
      <c r="CA268" s="135"/>
      <c r="CB268" s="135"/>
      <c r="CC268" s="135"/>
      <c r="CD268" s="135"/>
      <c r="CE268" s="135"/>
      <c r="CF268" s="135"/>
      <c r="CG268" s="135"/>
      <c r="CH268" s="135"/>
      <c r="CI268" s="135"/>
      <c r="CJ268" s="135"/>
      <c r="CK268" s="135"/>
      <c r="CL268" s="135"/>
      <c r="CM268" s="135"/>
      <c r="CN268" s="135"/>
      <c r="CO268" s="135"/>
      <c r="CP268" s="135"/>
      <c r="CQ268" s="135"/>
      <c r="CR268" s="135"/>
      <c r="CS268" s="135"/>
      <c r="CT268" s="135"/>
      <c r="CU268" s="135"/>
      <c r="CV268" s="135"/>
      <c r="CW268" s="135"/>
      <c r="CX268" s="136"/>
    </row>
    <row r="269" spans="2:102">
      <c r="B269" s="133"/>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c r="AB269" s="135"/>
      <c r="AC269" s="135"/>
      <c r="AD269" s="135"/>
      <c r="AE269" s="135"/>
      <c r="AF269" s="135"/>
      <c r="AG269" s="135"/>
      <c r="AH269" s="135"/>
      <c r="AI269" s="135"/>
      <c r="AJ269" s="135"/>
      <c r="AK269" s="135"/>
      <c r="AL269" s="135"/>
      <c r="AM269" s="135"/>
      <c r="AN269" s="135"/>
      <c r="AO269" s="135"/>
      <c r="AP269" s="135"/>
      <c r="AQ269" s="135"/>
      <c r="AR269" s="135"/>
      <c r="AS269" s="135"/>
      <c r="AT269" s="135"/>
      <c r="AU269" s="135"/>
      <c r="AV269" s="135"/>
      <c r="AW269" s="135"/>
      <c r="AX269" s="135"/>
      <c r="AY269" s="135"/>
      <c r="AZ269" s="135"/>
      <c r="BA269" s="135"/>
      <c r="BB269" s="135"/>
      <c r="BC269" s="135"/>
      <c r="BD269" s="135"/>
      <c r="BE269" s="135"/>
      <c r="BF269" s="135"/>
      <c r="BG269" s="135"/>
      <c r="BH269" s="135"/>
      <c r="BI269" s="135"/>
      <c r="BJ269" s="135"/>
      <c r="BK269" s="135"/>
      <c r="BL269" s="135"/>
      <c r="BM269" s="135"/>
      <c r="BN269" s="135"/>
      <c r="BO269" s="135"/>
      <c r="BP269" s="135"/>
      <c r="BQ269" s="135"/>
      <c r="BR269" s="135"/>
      <c r="BS269" s="135"/>
      <c r="BT269" s="135"/>
      <c r="BU269" s="135"/>
      <c r="BV269" s="135"/>
      <c r="BW269" s="135"/>
      <c r="BX269" s="135"/>
      <c r="BY269" s="135"/>
      <c r="BZ269" s="135"/>
      <c r="CA269" s="135"/>
      <c r="CB269" s="135"/>
      <c r="CC269" s="135"/>
      <c r="CD269" s="135"/>
      <c r="CE269" s="135"/>
      <c r="CF269" s="135"/>
      <c r="CG269" s="135"/>
      <c r="CH269" s="135"/>
      <c r="CI269" s="135"/>
      <c r="CJ269" s="135"/>
      <c r="CK269" s="135"/>
      <c r="CL269" s="135"/>
      <c r="CM269" s="135"/>
      <c r="CN269" s="135"/>
      <c r="CO269" s="135"/>
      <c r="CP269" s="135"/>
      <c r="CQ269" s="135"/>
      <c r="CR269" s="135"/>
      <c r="CS269" s="135"/>
      <c r="CT269" s="135"/>
      <c r="CU269" s="135"/>
      <c r="CV269" s="135"/>
      <c r="CW269" s="135"/>
      <c r="CX269" s="136"/>
    </row>
    <row r="270" spans="2:102">
      <c r="B270" s="133"/>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c r="AB270" s="135"/>
      <c r="AC270" s="135"/>
      <c r="AD270" s="135"/>
      <c r="AE270" s="135"/>
      <c r="AF270" s="135"/>
      <c r="AG270" s="135"/>
      <c r="AH270" s="135"/>
      <c r="AI270" s="135"/>
      <c r="AJ270" s="135"/>
      <c r="AK270" s="135"/>
      <c r="AL270" s="135"/>
      <c r="AM270" s="135"/>
      <c r="AN270" s="135"/>
      <c r="AO270" s="135"/>
      <c r="AP270" s="135"/>
      <c r="AQ270" s="135"/>
      <c r="AR270" s="135"/>
      <c r="AS270" s="135"/>
      <c r="AT270" s="135"/>
      <c r="AU270" s="135"/>
      <c r="AV270" s="135"/>
      <c r="AW270" s="135"/>
      <c r="AX270" s="135"/>
      <c r="AY270" s="135"/>
      <c r="AZ270" s="135"/>
      <c r="BA270" s="135"/>
      <c r="BB270" s="135"/>
      <c r="BC270" s="135"/>
      <c r="BD270" s="135"/>
      <c r="BE270" s="135"/>
      <c r="BF270" s="135"/>
      <c r="BG270" s="135"/>
      <c r="BH270" s="135"/>
      <c r="BI270" s="135"/>
      <c r="BJ270" s="135"/>
      <c r="BK270" s="135"/>
      <c r="BL270" s="135"/>
      <c r="BM270" s="135"/>
      <c r="BN270" s="135"/>
      <c r="BO270" s="135"/>
      <c r="BP270" s="135"/>
      <c r="BQ270" s="135"/>
      <c r="BR270" s="135"/>
      <c r="BS270" s="135"/>
      <c r="BT270" s="135"/>
      <c r="BU270" s="135"/>
      <c r="BV270" s="135"/>
      <c r="BW270" s="135"/>
      <c r="BX270" s="135"/>
      <c r="BY270" s="135"/>
      <c r="BZ270" s="135"/>
      <c r="CA270" s="135"/>
      <c r="CB270" s="135"/>
      <c r="CC270" s="135"/>
      <c r="CD270" s="135"/>
      <c r="CE270" s="135"/>
      <c r="CF270" s="135"/>
      <c r="CG270" s="135"/>
      <c r="CH270" s="135"/>
      <c r="CI270" s="135"/>
      <c r="CJ270" s="135"/>
      <c r="CK270" s="135"/>
      <c r="CL270" s="135"/>
      <c r="CM270" s="135"/>
      <c r="CN270" s="135"/>
      <c r="CO270" s="135"/>
      <c r="CP270" s="135"/>
      <c r="CQ270" s="135"/>
      <c r="CR270" s="135"/>
      <c r="CS270" s="135"/>
      <c r="CT270" s="135"/>
      <c r="CU270" s="135"/>
      <c r="CV270" s="135"/>
      <c r="CW270" s="135"/>
      <c r="CX270" s="136"/>
    </row>
    <row r="271" spans="2:102">
      <c r="B271" s="133"/>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c r="AB271" s="135"/>
      <c r="AC271" s="135"/>
      <c r="AD271" s="135"/>
      <c r="AE271" s="135"/>
      <c r="AF271" s="135"/>
      <c r="AG271" s="135"/>
      <c r="AH271" s="135"/>
      <c r="AI271" s="135"/>
      <c r="AJ271" s="135"/>
      <c r="AK271" s="135"/>
      <c r="AL271" s="135"/>
      <c r="AM271" s="135"/>
      <c r="AN271" s="135"/>
      <c r="AO271" s="135"/>
      <c r="AP271" s="135"/>
      <c r="AQ271" s="135"/>
      <c r="AR271" s="135"/>
      <c r="AS271" s="135"/>
      <c r="AT271" s="135"/>
      <c r="AU271" s="135"/>
      <c r="AV271" s="135"/>
      <c r="AW271" s="135"/>
      <c r="AX271" s="135"/>
      <c r="AY271" s="135"/>
      <c r="AZ271" s="135"/>
      <c r="BA271" s="135"/>
      <c r="BB271" s="135"/>
      <c r="BC271" s="135"/>
      <c r="BD271" s="135"/>
      <c r="BE271" s="135"/>
      <c r="BF271" s="135"/>
      <c r="BG271" s="135"/>
      <c r="BH271" s="135"/>
      <c r="BI271" s="135"/>
      <c r="BJ271" s="135"/>
      <c r="BK271" s="135"/>
      <c r="BL271" s="135"/>
      <c r="BM271" s="135"/>
      <c r="BN271" s="135"/>
      <c r="BO271" s="135"/>
      <c r="BP271" s="135"/>
      <c r="BQ271" s="135"/>
      <c r="BR271" s="135"/>
      <c r="BS271" s="135"/>
      <c r="BT271" s="135"/>
      <c r="BU271" s="135"/>
      <c r="BV271" s="135"/>
      <c r="BW271" s="135"/>
      <c r="BX271" s="135"/>
      <c r="BY271" s="135"/>
      <c r="BZ271" s="135"/>
      <c r="CA271" s="135"/>
      <c r="CB271" s="135"/>
      <c r="CC271" s="135"/>
      <c r="CD271" s="135"/>
      <c r="CE271" s="135"/>
      <c r="CF271" s="135"/>
      <c r="CG271" s="135"/>
      <c r="CH271" s="135"/>
      <c r="CI271" s="135"/>
      <c r="CJ271" s="135"/>
      <c r="CK271" s="135"/>
      <c r="CL271" s="135"/>
      <c r="CM271" s="135"/>
      <c r="CN271" s="135"/>
      <c r="CO271" s="135"/>
      <c r="CP271" s="135"/>
      <c r="CQ271" s="135"/>
      <c r="CR271" s="135"/>
      <c r="CS271" s="135"/>
      <c r="CT271" s="135"/>
      <c r="CU271" s="135"/>
      <c r="CV271" s="135"/>
      <c r="CW271" s="135"/>
      <c r="CX271" s="136"/>
    </row>
    <row r="272" spans="2:102">
      <c r="B272" s="133"/>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c r="AB272" s="135"/>
      <c r="AC272" s="135"/>
      <c r="AD272" s="135"/>
      <c r="AE272" s="135"/>
      <c r="AF272" s="135"/>
      <c r="AG272" s="135"/>
      <c r="AH272" s="135"/>
      <c r="AI272" s="135"/>
      <c r="AJ272" s="135"/>
      <c r="AK272" s="135"/>
      <c r="AL272" s="135"/>
      <c r="AM272" s="135"/>
      <c r="AN272" s="135"/>
      <c r="AO272" s="135"/>
      <c r="AP272" s="135"/>
      <c r="AQ272" s="135"/>
      <c r="AR272" s="135"/>
      <c r="AS272" s="135"/>
      <c r="AT272" s="135"/>
      <c r="AU272" s="135"/>
      <c r="AV272" s="135"/>
      <c r="AW272" s="135"/>
      <c r="AX272" s="135"/>
      <c r="AY272" s="135"/>
      <c r="AZ272" s="135"/>
      <c r="BA272" s="135"/>
      <c r="BB272" s="135"/>
      <c r="BC272" s="135"/>
      <c r="BD272" s="135"/>
      <c r="BE272" s="135"/>
      <c r="BF272" s="135"/>
      <c r="BG272" s="135"/>
      <c r="BH272" s="135"/>
      <c r="BI272" s="135"/>
      <c r="BJ272" s="135"/>
      <c r="BK272" s="135"/>
      <c r="BL272" s="135"/>
      <c r="BM272" s="135"/>
      <c r="BN272" s="135"/>
      <c r="BO272" s="135"/>
      <c r="BP272" s="135"/>
      <c r="BQ272" s="135"/>
      <c r="BR272" s="135"/>
      <c r="BS272" s="135"/>
      <c r="BT272" s="135"/>
      <c r="BU272" s="135"/>
      <c r="BV272" s="135"/>
      <c r="BW272" s="135"/>
      <c r="BX272" s="135"/>
      <c r="BY272" s="135"/>
      <c r="BZ272" s="135"/>
      <c r="CA272" s="135"/>
      <c r="CB272" s="135"/>
      <c r="CC272" s="135"/>
      <c r="CD272" s="135"/>
      <c r="CE272" s="135"/>
      <c r="CF272" s="135"/>
      <c r="CG272" s="135"/>
      <c r="CH272" s="135"/>
      <c r="CI272" s="135"/>
      <c r="CJ272" s="135"/>
      <c r="CK272" s="135"/>
      <c r="CL272" s="135"/>
      <c r="CM272" s="135"/>
      <c r="CN272" s="135"/>
      <c r="CO272" s="135"/>
      <c r="CP272" s="135"/>
      <c r="CQ272" s="135"/>
      <c r="CR272" s="135"/>
      <c r="CS272" s="135"/>
      <c r="CT272" s="135"/>
      <c r="CU272" s="135"/>
      <c r="CV272" s="135"/>
      <c r="CW272" s="135"/>
      <c r="CX272" s="136"/>
    </row>
    <row r="273" spans="2:102">
      <c r="B273" s="133"/>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c r="AB273" s="135"/>
      <c r="AC273" s="135"/>
      <c r="AD273" s="135"/>
      <c r="AE273" s="135"/>
      <c r="AF273" s="135"/>
      <c r="AG273" s="135"/>
      <c r="AH273" s="135"/>
      <c r="AI273" s="135"/>
      <c r="AJ273" s="135"/>
      <c r="AK273" s="135"/>
      <c r="AL273" s="135"/>
      <c r="AM273" s="135"/>
      <c r="AN273" s="135"/>
      <c r="AO273" s="135"/>
      <c r="AP273" s="135"/>
      <c r="AQ273" s="135"/>
      <c r="AR273" s="135"/>
      <c r="AS273" s="135"/>
      <c r="AT273" s="135"/>
      <c r="AU273" s="135"/>
      <c r="AV273" s="135"/>
      <c r="AW273" s="135"/>
      <c r="AX273" s="135"/>
      <c r="AY273" s="135"/>
      <c r="AZ273" s="135"/>
      <c r="BA273" s="135"/>
      <c r="BB273" s="135"/>
      <c r="BC273" s="135"/>
      <c r="BD273" s="135"/>
      <c r="BE273" s="135"/>
      <c r="BF273" s="135"/>
      <c r="BG273" s="135"/>
      <c r="BH273" s="135"/>
      <c r="BI273" s="135"/>
      <c r="BJ273" s="135"/>
      <c r="BK273" s="135"/>
      <c r="BL273" s="135"/>
      <c r="BM273" s="135"/>
      <c r="BN273" s="135"/>
      <c r="BO273" s="135"/>
      <c r="BP273" s="135"/>
      <c r="BQ273" s="135"/>
      <c r="BR273" s="135"/>
      <c r="BS273" s="135"/>
      <c r="BT273" s="135"/>
      <c r="BU273" s="135"/>
      <c r="BV273" s="135"/>
      <c r="BW273" s="135"/>
      <c r="BX273" s="135"/>
      <c r="BY273" s="135"/>
      <c r="BZ273" s="135"/>
      <c r="CA273" s="135"/>
      <c r="CB273" s="135"/>
      <c r="CC273" s="135"/>
      <c r="CD273" s="135"/>
      <c r="CE273" s="135"/>
      <c r="CF273" s="135"/>
      <c r="CG273" s="135"/>
      <c r="CH273" s="135"/>
      <c r="CI273" s="135"/>
      <c r="CJ273" s="135"/>
      <c r="CK273" s="135"/>
      <c r="CL273" s="135"/>
      <c r="CM273" s="135"/>
      <c r="CN273" s="135"/>
      <c r="CO273" s="135"/>
      <c r="CP273" s="135"/>
      <c r="CQ273" s="135"/>
      <c r="CR273" s="135"/>
      <c r="CS273" s="135"/>
      <c r="CT273" s="135"/>
      <c r="CU273" s="135"/>
      <c r="CV273" s="135"/>
      <c r="CW273" s="135"/>
      <c r="CX273" s="136"/>
    </row>
    <row r="274" spans="2:102">
      <c r="B274" s="133"/>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c r="AB274" s="135"/>
      <c r="AC274" s="135"/>
      <c r="AD274" s="135"/>
      <c r="AE274" s="135"/>
      <c r="AF274" s="135"/>
      <c r="AG274" s="135"/>
      <c r="AH274" s="135"/>
      <c r="AI274" s="135"/>
      <c r="AJ274" s="135"/>
      <c r="AK274" s="135"/>
      <c r="AL274" s="135"/>
      <c r="AM274" s="135"/>
      <c r="AN274" s="135"/>
      <c r="AO274" s="135"/>
      <c r="AP274" s="135"/>
      <c r="AQ274" s="135"/>
      <c r="AR274" s="135"/>
      <c r="AS274" s="135"/>
      <c r="AT274" s="135"/>
      <c r="AU274" s="135"/>
      <c r="AV274" s="135"/>
      <c r="AW274" s="135"/>
      <c r="AX274" s="135"/>
      <c r="AY274" s="135"/>
      <c r="AZ274" s="135"/>
      <c r="BA274" s="135"/>
      <c r="BB274" s="135"/>
      <c r="BC274" s="135"/>
      <c r="BD274" s="135"/>
      <c r="BE274" s="135"/>
      <c r="BF274" s="135"/>
      <c r="BG274" s="135"/>
      <c r="BH274" s="135"/>
      <c r="BI274" s="135"/>
      <c r="BJ274" s="135"/>
      <c r="BK274" s="135"/>
      <c r="BL274" s="135"/>
      <c r="BM274" s="135"/>
      <c r="BN274" s="135"/>
      <c r="BO274" s="135"/>
      <c r="BP274" s="135"/>
      <c r="BQ274" s="135"/>
      <c r="BR274" s="135"/>
      <c r="BS274" s="135"/>
      <c r="BT274" s="135"/>
      <c r="BU274" s="135"/>
      <c r="BV274" s="135"/>
      <c r="BW274" s="135"/>
      <c r="BX274" s="135"/>
      <c r="BY274" s="135"/>
      <c r="BZ274" s="135"/>
      <c r="CA274" s="135"/>
      <c r="CB274" s="135"/>
      <c r="CC274" s="135"/>
      <c r="CD274" s="135"/>
      <c r="CE274" s="135"/>
      <c r="CF274" s="135"/>
      <c r="CG274" s="135"/>
      <c r="CH274" s="135"/>
      <c r="CI274" s="135"/>
      <c r="CJ274" s="135"/>
      <c r="CK274" s="135"/>
      <c r="CL274" s="135"/>
      <c r="CM274" s="135"/>
      <c r="CN274" s="135"/>
      <c r="CO274" s="135"/>
      <c r="CP274" s="135"/>
      <c r="CQ274" s="135"/>
      <c r="CR274" s="135"/>
      <c r="CS274" s="135"/>
      <c r="CT274" s="135"/>
      <c r="CU274" s="135"/>
      <c r="CV274" s="135"/>
      <c r="CW274" s="135"/>
      <c r="CX274" s="136"/>
    </row>
    <row r="275" spans="2:102">
      <c r="B275" s="133"/>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c r="AB275" s="135"/>
      <c r="AC275" s="135"/>
      <c r="AD275" s="135"/>
      <c r="AE275" s="135"/>
      <c r="AF275" s="135"/>
      <c r="AG275" s="135"/>
      <c r="AH275" s="135"/>
      <c r="AI275" s="135"/>
      <c r="AJ275" s="135"/>
      <c r="AK275" s="135"/>
      <c r="AL275" s="135"/>
      <c r="AM275" s="135"/>
      <c r="AN275" s="135"/>
      <c r="AO275" s="135"/>
      <c r="AP275" s="135"/>
      <c r="AQ275" s="135"/>
      <c r="AR275" s="135"/>
      <c r="AS275" s="135"/>
      <c r="AT275" s="135"/>
      <c r="AU275" s="135"/>
      <c r="AV275" s="135"/>
      <c r="AW275" s="135"/>
      <c r="AX275" s="135"/>
      <c r="AY275" s="135"/>
      <c r="AZ275" s="135"/>
      <c r="BA275" s="135"/>
      <c r="BB275" s="135"/>
      <c r="BC275" s="135"/>
      <c r="BD275" s="135"/>
      <c r="BE275" s="135"/>
      <c r="BF275" s="135"/>
      <c r="BG275" s="135"/>
      <c r="BH275" s="135"/>
      <c r="BI275" s="135"/>
      <c r="BJ275" s="135"/>
      <c r="BK275" s="135"/>
      <c r="BL275" s="135"/>
      <c r="BM275" s="135"/>
      <c r="BN275" s="135"/>
      <c r="BO275" s="135"/>
      <c r="BP275" s="135"/>
      <c r="BQ275" s="135"/>
      <c r="BR275" s="135"/>
      <c r="BS275" s="135"/>
      <c r="BT275" s="135"/>
      <c r="BU275" s="135"/>
      <c r="BV275" s="135"/>
      <c r="BW275" s="135"/>
      <c r="BX275" s="135"/>
      <c r="BY275" s="135"/>
      <c r="BZ275" s="135"/>
      <c r="CA275" s="135"/>
      <c r="CB275" s="135"/>
      <c r="CC275" s="135"/>
      <c r="CD275" s="135"/>
      <c r="CE275" s="135"/>
      <c r="CF275" s="135"/>
      <c r="CG275" s="135"/>
      <c r="CH275" s="135"/>
      <c r="CI275" s="135"/>
      <c r="CJ275" s="135"/>
      <c r="CK275" s="135"/>
      <c r="CL275" s="135"/>
      <c r="CM275" s="135"/>
      <c r="CN275" s="135"/>
      <c r="CO275" s="135"/>
      <c r="CP275" s="135"/>
      <c r="CQ275" s="135"/>
      <c r="CR275" s="135"/>
      <c r="CS275" s="135"/>
      <c r="CT275" s="135"/>
      <c r="CU275" s="135"/>
      <c r="CV275" s="135"/>
      <c r="CW275" s="135"/>
      <c r="CX275" s="136"/>
    </row>
    <row r="276" spans="2:102">
      <c r="B276" s="133"/>
      <c r="C276" s="135"/>
      <c r="D276" s="135"/>
      <c r="E276" s="135"/>
      <c r="F276" s="135"/>
      <c r="G276" s="135"/>
      <c r="BK276" s="135"/>
      <c r="BL276" s="135"/>
      <c r="BM276" s="135"/>
      <c r="BN276" s="135"/>
      <c r="BO276" s="135"/>
      <c r="BP276" s="135"/>
      <c r="BQ276" s="135"/>
      <c r="BR276" s="135"/>
      <c r="BS276" s="135"/>
      <c r="BT276" s="135"/>
      <c r="BU276" s="135"/>
      <c r="BV276" s="135"/>
      <c r="BW276" s="135"/>
      <c r="BX276" s="135"/>
      <c r="BY276" s="135"/>
      <c r="BZ276" s="135"/>
      <c r="CA276" s="135"/>
      <c r="CB276" s="135"/>
      <c r="CC276" s="135"/>
      <c r="CD276" s="135"/>
      <c r="CE276" s="135"/>
      <c r="CF276" s="135"/>
      <c r="CG276" s="135"/>
      <c r="CH276" s="135"/>
      <c r="CI276" s="135"/>
      <c r="CJ276" s="135"/>
      <c r="CK276" s="135"/>
      <c r="CL276" s="135"/>
      <c r="CM276" s="135"/>
      <c r="CN276" s="135"/>
      <c r="CO276" s="135"/>
      <c r="CP276" s="135"/>
      <c r="CQ276" s="135"/>
      <c r="CR276" s="135"/>
      <c r="CS276" s="135"/>
      <c r="CT276" s="135"/>
      <c r="CU276" s="135"/>
      <c r="CV276" s="135"/>
      <c r="CW276" s="135"/>
      <c r="CX276" s="136"/>
    </row>
    <row r="277" spans="2:102">
      <c r="B277" s="133"/>
      <c r="C277" s="135"/>
      <c r="D277" s="135"/>
      <c r="E277" s="135"/>
      <c r="F277" s="135"/>
      <c r="G277" s="135"/>
      <c r="BK277" s="135"/>
      <c r="BL277" s="135"/>
      <c r="BM277" s="135"/>
      <c r="BN277" s="135"/>
      <c r="BO277" s="135"/>
      <c r="BP277" s="135"/>
      <c r="BQ277" s="135"/>
      <c r="BR277" s="135"/>
      <c r="BS277" s="135"/>
      <c r="BT277" s="135"/>
      <c r="BU277" s="135"/>
      <c r="BV277" s="135"/>
      <c r="BW277" s="135"/>
      <c r="BX277" s="135"/>
      <c r="BY277" s="135"/>
      <c r="BZ277" s="135"/>
      <c r="CA277" s="135"/>
      <c r="CB277" s="135"/>
      <c r="CC277" s="135"/>
      <c r="CD277" s="135"/>
      <c r="CE277" s="135"/>
      <c r="CF277" s="135"/>
      <c r="CG277" s="135"/>
      <c r="CH277" s="135"/>
      <c r="CI277" s="135"/>
      <c r="CJ277" s="135"/>
      <c r="CK277" s="135"/>
      <c r="CL277" s="135"/>
      <c r="CM277" s="135"/>
      <c r="CN277" s="135"/>
      <c r="CO277" s="135"/>
      <c r="CP277" s="135"/>
      <c r="CQ277" s="135"/>
      <c r="CR277" s="135"/>
      <c r="CS277" s="135"/>
      <c r="CT277" s="135"/>
      <c r="CU277" s="135"/>
      <c r="CV277" s="135"/>
      <c r="CW277" s="135"/>
      <c r="CX277" s="136"/>
    </row>
    <row r="278" spans="2:102">
      <c r="B278" s="133"/>
      <c r="C278" s="135"/>
      <c r="D278" s="135"/>
      <c r="E278" s="135"/>
      <c r="F278" s="135"/>
      <c r="G278" s="135"/>
      <c r="BK278" s="135"/>
      <c r="BL278" s="135"/>
      <c r="BM278" s="135"/>
      <c r="BN278" s="135"/>
      <c r="BO278" s="135"/>
      <c r="BP278" s="135"/>
      <c r="BQ278" s="135"/>
      <c r="BR278" s="135"/>
      <c r="BS278" s="135"/>
      <c r="BT278" s="135"/>
      <c r="BU278" s="135"/>
      <c r="BV278" s="135"/>
      <c r="BW278" s="135"/>
      <c r="BX278" s="135"/>
      <c r="BY278" s="135"/>
      <c r="BZ278" s="135"/>
      <c r="CA278" s="135"/>
      <c r="CB278" s="135"/>
      <c r="CC278" s="135"/>
      <c r="CD278" s="135"/>
      <c r="CE278" s="135"/>
      <c r="CF278" s="135"/>
      <c r="CG278" s="135"/>
      <c r="CH278" s="135"/>
      <c r="CI278" s="135"/>
      <c r="CJ278" s="135"/>
      <c r="CK278" s="135"/>
      <c r="CL278" s="135"/>
      <c r="CM278" s="135"/>
      <c r="CN278" s="135"/>
      <c r="CO278" s="135"/>
      <c r="CP278" s="135"/>
      <c r="CQ278" s="135"/>
      <c r="CR278" s="135"/>
      <c r="CS278" s="135"/>
      <c r="CT278" s="135"/>
      <c r="CU278" s="135"/>
      <c r="CV278" s="135"/>
      <c r="CW278" s="135"/>
      <c r="CX278" s="136"/>
    </row>
    <row r="279" spans="2:102">
      <c r="B279" s="133"/>
      <c r="C279" s="135"/>
      <c r="D279" s="135"/>
      <c r="E279" s="135"/>
      <c r="F279" s="135"/>
      <c r="G279" s="135"/>
      <c r="BK279" s="135"/>
      <c r="BL279" s="135"/>
      <c r="BM279" s="135"/>
      <c r="BN279" s="135"/>
      <c r="BO279" s="135"/>
      <c r="BP279" s="135"/>
      <c r="BQ279" s="135"/>
      <c r="BR279" s="135"/>
      <c r="BS279" s="135"/>
      <c r="BT279" s="135"/>
      <c r="BU279" s="135"/>
      <c r="BV279" s="135"/>
      <c r="BW279" s="135"/>
      <c r="BX279" s="135"/>
      <c r="BY279" s="135"/>
      <c r="BZ279" s="135"/>
      <c r="CA279" s="135"/>
      <c r="CB279" s="135"/>
      <c r="CC279" s="135"/>
      <c r="CD279" s="135"/>
      <c r="CE279" s="135"/>
      <c r="CF279" s="135"/>
      <c r="CG279" s="135"/>
      <c r="CH279" s="135"/>
      <c r="CI279" s="135"/>
      <c r="CJ279" s="135"/>
      <c r="CK279" s="135"/>
      <c r="CL279" s="135"/>
      <c r="CM279" s="135"/>
      <c r="CN279" s="135"/>
      <c r="CO279" s="135"/>
      <c r="CP279" s="135"/>
      <c r="CQ279" s="135"/>
      <c r="CR279" s="135"/>
      <c r="CS279" s="135"/>
      <c r="CT279" s="135"/>
      <c r="CU279" s="135"/>
      <c r="CV279" s="135"/>
      <c r="CW279" s="135"/>
      <c r="CX279" s="136"/>
    </row>
    <row r="280" spans="2:102">
      <c r="B280" s="133"/>
      <c r="C280" s="135"/>
      <c r="D280" s="135"/>
      <c r="E280" s="135"/>
      <c r="F280" s="135"/>
      <c r="G280" s="135"/>
      <c r="AA280" s="135"/>
      <c r="AB280" s="135"/>
      <c r="AC280" s="135"/>
      <c r="AD280" s="135"/>
      <c r="AE280" s="135"/>
      <c r="AF280" s="135"/>
      <c r="AG280" s="135"/>
      <c r="AH280" s="135"/>
      <c r="AI280" s="135"/>
      <c r="AJ280" s="135"/>
      <c r="AK280" s="135"/>
      <c r="AL280" s="135"/>
      <c r="AM280" s="135"/>
      <c r="AN280" s="135"/>
      <c r="AO280" s="135"/>
      <c r="AP280" s="135"/>
      <c r="AQ280" s="135"/>
      <c r="AR280" s="135"/>
      <c r="AS280" s="135"/>
      <c r="AT280" s="135"/>
      <c r="AU280" s="135"/>
      <c r="AV280" s="135"/>
      <c r="AW280" s="135"/>
      <c r="AX280" s="135"/>
      <c r="AY280" s="135"/>
      <c r="AZ280" s="135"/>
      <c r="BA280" s="135"/>
      <c r="BB280" s="135"/>
      <c r="BC280" s="135"/>
      <c r="BD280" s="135"/>
      <c r="BE280" s="135"/>
      <c r="BF280" s="135"/>
      <c r="BG280" s="135"/>
      <c r="BH280" s="135"/>
      <c r="BI280" s="135"/>
      <c r="BJ280" s="135"/>
      <c r="BK280" s="135"/>
      <c r="BL280" s="135"/>
      <c r="BM280" s="135"/>
      <c r="BN280" s="135"/>
      <c r="BO280" s="135"/>
      <c r="BP280" s="135"/>
      <c r="BQ280" s="135"/>
      <c r="BR280" s="135"/>
      <c r="BS280" s="135"/>
      <c r="BT280" s="135"/>
      <c r="BU280" s="135"/>
      <c r="BV280" s="135"/>
      <c r="BW280" s="135"/>
      <c r="BX280" s="135"/>
      <c r="BY280" s="135"/>
      <c r="BZ280" s="135"/>
      <c r="CA280" s="135"/>
      <c r="CB280" s="135"/>
      <c r="CC280" s="135"/>
      <c r="CD280" s="135"/>
      <c r="CE280" s="135"/>
      <c r="CF280" s="135"/>
      <c r="CG280" s="135"/>
      <c r="CH280" s="135"/>
      <c r="CI280" s="135"/>
      <c r="CJ280" s="135"/>
      <c r="CK280" s="135"/>
      <c r="CL280" s="135"/>
      <c r="CM280" s="135"/>
      <c r="CN280" s="135"/>
      <c r="CO280" s="135"/>
      <c r="CP280" s="135"/>
      <c r="CQ280" s="135"/>
      <c r="CR280" s="135"/>
      <c r="CS280" s="135"/>
      <c r="CT280" s="135"/>
      <c r="CU280" s="135"/>
      <c r="CV280" s="135"/>
      <c r="CW280" s="135"/>
      <c r="CX280" s="136"/>
    </row>
    <row r="281" spans="2:102">
      <c r="B281" s="133"/>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c r="AB281" s="135"/>
      <c r="AC281" s="135"/>
      <c r="AD281" s="135"/>
      <c r="AE281" s="135"/>
      <c r="AF281" s="135"/>
      <c r="AG281" s="135"/>
      <c r="AH281" s="135"/>
      <c r="AI281" s="135"/>
      <c r="AJ281" s="135"/>
      <c r="AK281" s="135"/>
      <c r="AL281" s="135"/>
      <c r="AM281" s="135"/>
      <c r="AN281" s="135"/>
      <c r="AO281" s="135"/>
      <c r="AP281" s="135"/>
      <c r="AQ281" s="135"/>
      <c r="AR281" s="135"/>
      <c r="AS281" s="135"/>
      <c r="AT281" s="135"/>
      <c r="AU281" s="135"/>
      <c r="AV281" s="135"/>
      <c r="AW281" s="135"/>
      <c r="AX281" s="135"/>
      <c r="AY281" s="135"/>
      <c r="AZ281" s="135"/>
      <c r="BA281" s="135"/>
      <c r="BB281" s="135"/>
      <c r="BC281" s="135"/>
      <c r="BD281" s="135"/>
      <c r="BE281" s="135"/>
      <c r="BF281" s="135"/>
      <c r="BG281" s="135"/>
      <c r="BH281" s="135"/>
      <c r="BI281" s="135"/>
      <c r="BJ281" s="135"/>
      <c r="BK281" s="135"/>
      <c r="BL281" s="135"/>
      <c r="BM281" s="135"/>
      <c r="BN281" s="135"/>
      <c r="BO281" s="135"/>
      <c r="BP281" s="135"/>
      <c r="BQ281" s="135"/>
      <c r="BR281" s="135"/>
      <c r="BS281" s="135"/>
      <c r="BT281" s="135"/>
      <c r="BU281" s="135"/>
      <c r="BV281" s="135"/>
      <c r="BW281" s="135"/>
      <c r="BX281" s="135"/>
      <c r="BY281" s="135"/>
      <c r="BZ281" s="135"/>
      <c r="CA281" s="135"/>
      <c r="CB281" s="135"/>
      <c r="CC281" s="135"/>
      <c r="CD281" s="135"/>
      <c r="CE281" s="135"/>
      <c r="CF281" s="135"/>
      <c r="CG281" s="135"/>
      <c r="CH281" s="135"/>
      <c r="CI281" s="135"/>
      <c r="CJ281" s="135"/>
      <c r="CK281" s="135"/>
      <c r="CL281" s="135"/>
      <c r="CM281" s="135"/>
      <c r="CN281" s="135"/>
      <c r="CO281" s="135"/>
      <c r="CP281" s="135"/>
      <c r="CQ281" s="135"/>
      <c r="CR281" s="135"/>
      <c r="CS281" s="135"/>
      <c r="CT281" s="135"/>
      <c r="CU281" s="135"/>
      <c r="CV281" s="135"/>
      <c r="CW281" s="135"/>
      <c r="CX281" s="136"/>
    </row>
    <row r="282" spans="2:102">
      <c r="B282" s="133"/>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c r="AB282" s="135"/>
      <c r="AC282" s="135"/>
      <c r="AD282" s="135"/>
      <c r="AE282" s="135"/>
      <c r="AF282" s="135"/>
      <c r="AG282" s="135"/>
      <c r="AH282" s="135"/>
      <c r="AI282" s="135"/>
      <c r="AJ282" s="135"/>
      <c r="AK282" s="135"/>
      <c r="AL282" s="135"/>
      <c r="AM282" s="135"/>
      <c r="AN282" s="135"/>
      <c r="AO282" s="135"/>
      <c r="AP282" s="135"/>
      <c r="AQ282" s="135"/>
      <c r="AR282" s="135"/>
      <c r="AS282" s="135"/>
      <c r="AT282" s="135"/>
      <c r="AU282" s="135"/>
      <c r="AV282" s="135"/>
      <c r="AW282" s="135"/>
      <c r="AX282" s="135"/>
      <c r="AY282" s="135"/>
      <c r="AZ282" s="135"/>
      <c r="BA282" s="135"/>
      <c r="BB282" s="135"/>
      <c r="BC282" s="135"/>
      <c r="BD282" s="135"/>
      <c r="BE282" s="135"/>
      <c r="BF282" s="135"/>
      <c r="BG282" s="135"/>
      <c r="BH282" s="135"/>
      <c r="BI282" s="135"/>
      <c r="BJ282" s="135"/>
      <c r="BK282" s="135"/>
      <c r="BL282" s="135"/>
      <c r="BM282" s="135"/>
      <c r="BN282" s="135"/>
      <c r="BO282" s="135"/>
      <c r="BP282" s="135"/>
      <c r="BQ282" s="135"/>
      <c r="BR282" s="135"/>
      <c r="BS282" s="135"/>
      <c r="BT282" s="135"/>
      <c r="BU282" s="135"/>
      <c r="BV282" s="135"/>
      <c r="BW282" s="135"/>
      <c r="BX282" s="135"/>
      <c r="BY282" s="135"/>
      <c r="BZ282" s="135"/>
      <c r="CA282" s="135"/>
      <c r="CB282" s="135"/>
      <c r="CC282" s="135"/>
      <c r="CD282" s="135"/>
      <c r="CE282" s="135"/>
      <c r="CF282" s="135"/>
      <c r="CG282" s="135"/>
      <c r="CH282" s="135"/>
      <c r="CI282" s="135"/>
      <c r="CJ282" s="135"/>
      <c r="CK282" s="135"/>
      <c r="CL282" s="135"/>
      <c r="CM282" s="135"/>
      <c r="CN282" s="135"/>
      <c r="CO282" s="135"/>
      <c r="CP282" s="135"/>
      <c r="CQ282" s="135"/>
      <c r="CR282" s="135"/>
      <c r="CS282" s="135"/>
      <c r="CT282" s="135"/>
      <c r="CU282" s="135"/>
      <c r="CV282" s="135"/>
      <c r="CW282" s="135"/>
      <c r="CX282" s="136"/>
    </row>
    <row r="283" spans="2:102">
      <c r="B283" s="133"/>
      <c r="C283" s="135"/>
      <c r="D283" s="135"/>
      <c r="E283" s="135"/>
      <c r="F283" s="135"/>
      <c r="G283" s="135"/>
      <c r="W283" s="135"/>
      <c r="X283" s="135"/>
      <c r="Y283" s="135"/>
      <c r="Z283" s="135"/>
      <c r="AA283" s="135"/>
      <c r="AB283" s="135"/>
      <c r="AC283" s="135"/>
      <c r="AD283" s="135"/>
      <c r="AE283" s="135"/>
      <c r="AF283" s="135"/>
      <c r="AG283" s="135"/>
      <c r="AH283" s="135"/>
      <c r="AI283" s="135"/>
      <c r="AJ283" s="135"/>
      <c r="AK283" s="135"/>
      <c r="AL283" s="135"/>
      <c r="AM283" s="135"/>
      <c r="AN283" s="135"/>
      <c r="AO283" s="135"/>
      <c r="AP283" s="135"/>
      <c r="AQ283" s="135"/>
      <c r="AR283" s="135"/>
      <c r="AS283" s="135"/>
      <c r="AT283" s="135"/>
      <c r="AU283" s="135"/>
      <c r="AV283" s="135"/>
      <c r="AW283" s="135"/>
      <c r="AX283" s="135"/>
      <c r="AY283" s="135"/>
      <c r="AZ283" s="135"/>
      <c r="BA283" s="135"/>
      <c r="BB283" s="135"/>
      <c r="BC283" s="135"/>
      <c r="BD283" s="135"/>
      <c r="BE283" s="135"/>
      <c r="BF283" s="135"/>
      <c r="BG283" s="135"/>
      <c r="BH283" s="135"/>
      <c r="BI283" s="135"/>
      <c r="BJ283" s="135"/>
      <c r="BK283" s="135"/>
      <c r="BL283" s="135"/>
      <c r="BM283" s="135"/>
      <c r="BN283" s="135"/>
      <c r="BO283" s="135"/>
      <c r="BP283" s="135"/>
      <c r="BQ283" s="135"/>
      <c r="BR283" s="135"/>
      <c r="BS283" s="135"/>
      <c r="BT283" s="135"/>
      <c r="BU283" s="135"/>
      <c r="BV283" s="135"/>
      <c r="BW283" s="135"/>
      <c r="BX283" s="135"/>
      <c r="BY283" s="135"/>
      <c r="BZ283" s="135"/>
      <c r="CA283" s="135"/>
      <c r="CB283" s="135"/>
      <c r="CC283" s="135"/>
      <c r="CD283" s="135"/>
      <c r="CE283" s="135"/>
      <c r="CF283" s="135"/>
      <c r="CG283" s="135"/>
      <c r="CH283" s="135"/>
      <c r="CI283" s="135"/>
      <c r="CJ283" s="135"/>
      <c r="CK283" s="135"/>
      <c r="CL283" s="135"/>
      <c r="CM283" s="135"/>
      <c r="CN283" s="135"/>
      <c r="CO283" s="135"/>
      <c r="CP283" s="135"/>
      <c r="CQ283" s="135"/>
      <c r="CR283" s="135"/>
      <c r="CS283" s="135"/>
      <c r="CT283" s="135"/>
      <c r="CU283" s="135"/>
      <c r="CV283" s="135"/>
      <c r="CW283" s="135"/>
      <c r="CX283" s="136"/>
    </row>
    <row r="284" spans="2:102">
      <c r="B284" s="133"/>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c r="AB284" s="135"/>
      <c r="AC284" s="135"/>
      <c r="AD284" s="135"/>
      <c r="AE284" s="135"/>
      <c r="AF284" s="135"/>
      <c r="AG284" s="135"/>
      <c r="AH284" s="135"/>
      <c r="AI284" s="135"/>
      <c r="AJ284" s="135"/>
      <c r="AK284" s="135"/>
      <c r="AL284" s="135"/>
      <c r="AM284" s="135"/>
      <c r="AN284" s="135"/>
      <c r="AO284" s="135"/>
      <c r="AP284" s="135"/>
      <c r="AQ284" s="135"/>
      <c r="AR284" s="135"/>
      <c r="AS284" s="135"/>
      <c r="AT284" s="135"/>
      <c r="AU284" s="135"/>
      <c r="AV284" s="135"/>
      <c r="AW284" s="135"/>
      <c r="AX284" s="135"/>
      <c r="AY284" s="135"/>
      <c r="AZ284" s="135"/>
      <c r="BA284" s="135"/>
      <c r="BB284" s="135"/>
      <c r="BC284" s="135"/>
      <c r="BD284" s="135"/>
      <c r="BE284" s="135"/>
      <c r="BF284" s="135"/>
      <c r="BG284" s="135"/>
      <c r="BH284" s="135"/>
      <c r="BI284" s="135"/>
      <c r="BJ284" s="135"/>
      <c r="BK284" s="135"/>
      <c r="BL284" s="135"/>
      <c r="BM284" s="135"/>
      <c r="BN284" s="135"/>
      <c r="BO284" s="135"/>
      <c r="BP284" s="135"/>
      <c r="BQ284" s="135"/>
      <c r="BR284" s="135"/>
      <c r="BS284" s="135"/>
      <c r="BT284" s="135"/>
      <c r="BU284" s="135"/>
      <c r="BV284" s="135"/>
      <c r="BW284" s="135"/>
      <c r="BX284" s="135"/>
      <c r="BY284" s="135"/>
      <c r="BZ284" s="135"/>
      <c r="CA284" s="135"/>
      <c r="CB284" s="135"/>
      <c r="CC284" s="135"/>
      <c r="CD284" s="135"/>
      <c r="CE284" s="135"/>
      <c r="CF284" s="135"/>
      <c r="CG284" s="135"/>
      <c r="CH284" s="135"/>
      <c r="CI284" s="135"/>
      <c r="CJ284" s="135"/>
      <c r="CK284" s="135"/>
      <c r="CL284" s="135"/>
      <c r="CM284" s="135"/>
      <c r="CN284" s="135"/>
      <c r="CO284" s="135"/>
      <c r="CP284" s="135"/>
      <c r="CQ284" s="135"/>
      <c r="CR284" s="135"/>
      <c r="CS284" s="135"/>
      <c r="CT284" s="135"/>
      <c r="CU284" s="135"/>
      <c r="CV284" s="135"/>
      <c r="CW284" s="135"/>
      <c r="CX284" s="136"/>
    </row>
    <row r="285" spans="2:102">
      <c r="B285" s="133"/>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c r="AB285" s="135"/>
      <c r="AC285" s="135"/>
      <c r="AD285" s="135"/>
      <c r="AE285" s="135"/>
      <c r="AF285" s="135"/>
      <c r="AG285" s="135"/>
      <c r="AH285" s="135"/>
      <c r="AI285" s="135"/>
      <c r="AJ285" s="135"/>
      <c r="AK285" s="135"/>
      <c r="AL285" s="135"/>
      <c r="AM285" s="135"/>
      <c r="AN285" s="135"/>
      <c r="AO285" s="135"/>
      <c r="AP285" s="135"/>
      <c r="AQ285" s="135"/>
      <c r="AR285" s="135"/>
      <c r="AS285" s="135"/>
      <c r="AT285" s="135"/>
      <c r="AU285" s="135"/>
      <c r="AV285" s="135"/>
      <c r="AW285" s="135"/>
      <c r="AX285" s="135"/>
      <c r="AY285" s="135"/>
      <c r="AZ285" s="135"/>
      <c r="BA285" s="135"/>
      <c r="BB285" s="135"/>
      <c r="BC285" s="135"/>
      <c r="BD285" s="135"/>
      <c r="BE285" s="135"/>
      <c r="BF285" s="135"/>
      <c r="BG285" s="135"/>
      <c r="BH285" s="135"/>
      <c r="BI285" s="135"/>
      <c r="BJ285" s="135"/>
      <c r="BK285" s="135"/>
      <c r="BL285" s="135"/>
      <c r="BM285" s="135"/>
      <c r="BN285" s="135"/>
      <c r="BO285" s="135"/>
      <c r="BP285" s="135"/>
      <c r="BQ285" s="135"/>
      <c r="BR285" s="135"/>
      <c r="BS285" s="135"/>
      <c r="BT285" s="135"/>
      <c r="BU285" s="135"/>
      <c r="BV285" s="135"/>
      <c r="BW285" s="135"/>
      <c r="BX285" s="135"/>
      <c r="BY285" s="135"/>
      <c r="BZ285" s="135"/>
      <c r="CA285" s="135"/>
      <c r="CB285" s="135"/>
      <c r="CC285" s="135"/>
      <c r="CD285" s="135"/>
      <c r="CE285" s="135"/>
      <c r="CF285" s="135"/>
      <c r="CG285" s="135"/>
      <c r="CH285" s="135"/>
      <c r="CI285" s="135"/>
      <c r="CJ285" s="135"/>
      <c r="CK285" s="135"/>
      <c r="CL285" s="135"/>
      <c r="CM285" s="135"/>
      <c r="CN285" s="135"/>
      <c r="CO285" s="135"/>
      <c r="CP285" s="135"/>
      <c r="CQ285" s="135"/>
      <c r="CR285" s="135"/>
      <c r="CS285" s="135"/>
      <c r="CT285" s="135"/>
      <c r="CU285" s="135"/>
      <c r="CV285" s="135"/>
      <c r="CW285" s="135"/>
      <c r="CX285" s="136"/>
    </row>
    <row r="286" spans="2:102">
      <c r="B286" s="133"/>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c r="AB286" s="135"/>
      <c r="AC286" s="135"/>
      <c r="AD286" s="135"/>
      <c r="AE286" s="135"/>
      <c r="AF286" s="135"/>
      <c r="AG286" s="135"/>
      <c r="AH286" s="135"/>
      <c r="AI286" s="135"/>
      <c r="AJ286" s="135"/>
      <c r="AK286" s="135"/>
      <c r="AL286" s="135"/>
      <c r="AM286" s="135"/>
      <c r="AN286" s="135"/>
      <c r="AO286" s="135"/>
      <c r="AP286" s="135"/>
      <c r="AQ286" s="135"/>
      <c r="AR286" s="135"/>
      <c r="AS286" s="135"/>
      <c r="AT286" s="135"/>
      <c r="AU286" s="135"/>
      <c r="AV286" s="135"/>
      <c r="AW286" s="135"/>
      <c r="AX286" s="135"/>
      <c r="AY286" s="135"/>
      <c r="AZ286" s="135"/>
      <c r="BA286" s="135"/>
      <c r="BB286" s="135"/>
      <c r="BC286" s="135"/>
      <c r="BD286" s="135"/>
      <c r="BE286" s="135"/>
      <c r="BF286" s="135"/>
      <c r="BG286" s="135"/>
      <c r="BH286" s="135"/>
      <c r="BI286" s="135"/>
      <c r="BJ286" s="135"/>
      <c r="BK286" s="135"/>
      <c r="BL286" s="135"/>
      <c r="BM286" s="135"/>
      <c r="BN286" s="135"/>
      <c r="BO286" s="135"/>
      <c r="BP286" s="135"/>
      <c r="BQ286" s="135"/>
      <c r="BR286" s="135"/>
      <c r="BS286" s="135"/>
      <c r="BT286" s="135"/>
      <c r="BU286" s="135"/>
      <c r="BV286" s="135"/>
      <c r="BW286" s="135"/>
      <c r="BX286" s="135"/>
      <c r="BY286" s="135"/>
      <c r="BZ286" s="135"/>
      <c r="CA286" s="135"/>
      <c r="CB286" s="135"/>
      <c r="CC286" s="135"/>
      <c r="CD286" s="135"/>
      <c r="CE286" s="135"/>
      <c r="CF286" s="135"/>
      <c r="CG286" s="135"/>
      <c r="CH286" s="135"/>
      <c r="CI286" s="135"/>
      <c r="CJ286" s="135"/>
      <c r="CK286" s="135"/>
      <c r="CL286" s="135"/>
      <c r="CM286" s="135"/>
      <c r="CN286" s="135"/>
      <c r="CO286" s="135"/>
      <c r="CP286" s="135"/>
      <c r="CQ286" s="135"/>
      <c r="CR286" s="135"/>
      <c r="CS286" s="135"/>
      <c r="CT286" s="135"/>
      <c r="CU286" s="135"/>
      <c r="CV286" s="135"/>
      <c r="CW286" s="135"/>
      <c r="CX286" s="136"/>
    </row>
    <row r="287" spans="2:102">
      <c r="B287" s="133"/>
      <c r="C287" s="135"/>
      <c r="D287" s="135"/>
      <c r="E287" s="135"/>
      <c r="F287" s="135"/>
      <c r="H287" s="135"/>
      <c r="I287" s="135"/>
      <c r="J287" s="135"/>
      <c r="K287" s="135"/>
      <c r="L287" s="135"/>
      <c r="M287" s="135"/>
      <c r="N287" s="135"/>
      <c r="O287" s="135"/>
      <c r="P287" s="135"/>
      <c r="Q287" s="135"/>
      <c r="R287" s="135"/>
      <c r="S287" s="135"/>
      <c r="T287" s="135"/>
      <c r="U287" s="135"/>
      <c r="V287" s="135"/>
      <c r="W287" s="135"/>
      <c r="X287" s="135"/>
      <c r="Y287" s="135"/>
      <c r="Z287" s="135"/>
      <c r="AA287" s="135"/>
      <c r="AB287" s="135"/>
      <c r="AC287" s="135"/>
      <c r="AD287" s="135"/>
      <c r="AE287" s="135"/>
      <c r="AF287" s="135"/>
      <c r="AG287" s="135"/>
      <c r="AH287" s="135"/>
      <c r="AI287" s="135"/>
      <c r="AJ287" s="135"/>
      <c r="AK287" s="135"/>
      <c r="AL287" s="135"/>
      <c r="AM287" s="135"/>
      <c r="AN287" s="135"/>
      <c r="AO287" s="135"/>
      <c r="AP287" s="135"/>
      <c r="AQ287" s="135"/>
      <c r="AR287" s="135"/>
      <c r="AS287" s="135"/>
      <c r="AT287" s="135"/>
      <c r="AU287" s="135"/>
      <c r="AV287" s="135"/>
      <c r="AW287" s="135"/>
      <c r="AX287" s="135"/>
      <c r="AY287" s="135"/>
      <c r="AZ287" s="135"/>
      <c r="BA287" s="135"/>
      <c r="BB287" s="135"/>
      <c r="BC287" s="135"/>
      <c r="BD287" s="135"/>
      <c r="BE287" s="135"/>
      <c r="BF287" s="135"/>
      <c r="BG287" s="135"/>
      <c r="BH287" s="135"/>
      <c r="BI287" s="135"/>
      <c r="BJ287" s="135"/>
      <c r="BK287" s="135"/>
      <c r="BL287" s="135"/>
      <c r="BM287" s="135"/>
      <c r="BN287" s="135"/>
      <c r="BO287" s="135"/>
      <c r="BP287" s="135"/>
      <c r="BQ287" s="135"/>
      <c r="BR287" s="135"/>
      <c r="BS287" s="135"/>
      <c r="BT287" s="135"/>
      <c r="BU287" s="135"/>
      <c r="BV287" s="135"/>
      <c r="BW287" s="135"/>
      <c r="BX287" s="135"/>
      <c r="BY287" s="135"/>
      <c r="BZ287" s="135"/>
      <c r="CA287" s="135"/>
      <c r="CB287" s="135"/>
      <c r="CC287" s="135"/>
      <c r="CD287" s="135"/>
      <c r="CE287" s="135"/>
      <c r="CF287" s="135"/>
      <c r="CG287" s="135"/>
      <c r="CH287" s="135"/>
      <c r="CI287" s="135"/>
      <c r="CJ287" s="135"/>
      <c r="CK287" s="135"/>
      <c r="CL287" s="135"/>
      <c r="CM287" s="135"/>
      <c r="CN287" s="135"/>
      <c r="CO287" s="135"/>
      <c r="CP287" s="135"/>
      <c r="CQ287" s="135"/>
      <c r="CR287" s="135"/>
      <c r="CS287" s="135"/>
      <c r="CT287" s="135"/>
      <c r="CU287" s="135"/>
      <c r="CV287" s="135"/>
      <c r="CW287" s="135"/>
      <c r="CX287" s="136"/>
    </row>
    <row r="288" spans="2:102">
      <c r="B288" s="133"/>
      <c r="C288" s="135"/>
      <c r="D288" s="135"/>
      <c r="E288" s="135"/>
      <c r="F288" s="135"/>
      <c r="H288" s="135"/>
      <c r="I288" s="135"/>
      <c r="J288" s="135"/>
      <c r="K288" s="135"/>
      <c r="L288" s="135"/>
      <c r="M288" s="135"/>
      <c r="N288" s="135"/>
      <c r="O288" s="135"/>
      <c r="P288" s="135"/>
      <c r="Q288" s="135"/>
      <c r="R288" s="135"/>
      <c r="S288" s="135"/>
      <c r="T288" s="135"/>
      <c r="U288" s="135"/>
      <c r="V288" s="135"/>
      <c r="W288" s="135"/>
      <c r="X288" s="135"/>
      <c r="Y288" s="135"/>
      <c r="Z288" s="135"/>
      <c r="AA288" s="135"/>
      <c r="AB288" s="135"/>
      <c r="AC288" s="135"/>
      <c r="AD288" s="135"/>
      <c r="AE288" s="135"/>
      <c r="AF288" s="135"/>
      <c r="AG288" s="135"/>
      <c r="AH288" s="135"/>
      <c r="AI288" s="135"/>
      <c r="AJ288" s="135"/>
      <c r="AK288" s="135"/>
      <c r="AL288" s="135"/>
      <c r="AM288" s="135"/>
      <c r="AN288" s="135"/>
      <c r="AO288" s="135"/>
      <c r="AP288" s="135"/>
      <c r="AQ288" s="135"/>
      <c r="AR288" s="135"/>
      <c r="AS288" s="135"/>
      <c r="AT288" s="135"/>
      <c r="AU288" s="135"/>
      <c r="AV288" s="135"/>
      <c r="AW288" s="135"/>
      <c r="AX288" s="135"/>
      <c r="AY288" s="135"/>
      <c r="AZ288" s="135"/>
      <c r="BA288" s="135"/>
      <c r="BB288" s="135"/>
      <c r="BC288" s="135"/>
      <c r="BD288" s="135"/>
      <c r="BE288" s="135"/>
      <c r="BF288" s="135"/>
      <c r="BG288" s="135"/>
      <c r="BH288" s="135"/>
      <c r="BI288" s="135"/>
      <c r="BJ288" s="135"/>
      <c r="BK288" s="135"/>
      <c r="BL288" s="135"/>
      <c r="BM288" s="135"/>
      <c r="BN288" s="135"/>
      <c r="BO288" s="135"/>
      <c r="BP288" s="135"/>
      <c r="BQ288" s="135"/>
      <c r="BR288" s="135"/>
      <c r="BS288" s="135"/>
      <c r="BT288" s="135"/>
      <c r="BU288" s="135"/>
      <c r="BV288" s="135"/>
      <c r="BW288" s="135"/>
      <c r="BX288" s="135"/>
      <c r="BY288" s="135"/>
      <c r="BZ288" s="135"/>
      <c r="CA288" s="135"/>
      <c r="CB288" s="135"/>
      <c r="CC288" s="135"/>
      <c r="CD288" s="135"/>
      <c r="CE288" s="135"/>
      <c r="CF288" s="135"/>
      <c r="CG288" s="135"/>
      <c r="CH288" s="135"/>
      <c r="CI288" s="135"/>
      <c r="CJ288" s="135"/>
      <c r="CK288" s="135"/>
      <c r="CL288" s="135"/>
      <c r="CM288" s="135"/>
      <c r="CN288" s="135"/>
      <c r="CO288" s="135"/>
      <c r="CP288" s="135"/>
      <c r="CQ288" s="135"/>
      <c r="CR288" s="135"/>
      <c r="CS288" s="135"/>
      <c r="CT288" s="135"/>
      <c r="CU288" s="135"/>
      <c r="CV288" s="135"/>
      <c r="CW288" s="135"/>
      <c r="CX288" s="136"/>
    </row>
    <row r="289" spans="2:102">
      <c r="B289" s="133"/>
      <c r="C289" s="135"/>
      <c r="D289" s="135"/>
      <c r="E289" s="135"/>
      <c r="F289" s="135"/>
      <c r="H289" s="135"/>
      <c r="I289" s="135"/>
      <c r="J289" s="135"/>
      <c r="K289" s="135"/>
      <c r="L289" s="135"/>
      <c r="M289" s="135"/>
      <c r="N289" s="135"/>
      <c r="O289" s="135"/>
      <c r="P289" s="135"/>
      <c r="Q289" s="135"/>
      <c r="R289" s="135"/>
      <c r="S289" s="135"/>
      <c r="T289" s="135"/>
      <c r="U289" s="135"/>
      <c r="V289" s="135"/>
      <c r="W289" s="135"/>
      <c r="X289" s="135"/>
      <c r="Y289" s="135"/>
      <c r="Z289" s="135"/>
      <c r="AA289" s="135"/>
      <c r="AB289" s="135"/>
      <c r="AC289" s="135"/>
      <c r="AD289" s="135"/>
      <c r="AE289" s="135"/>
      <c r="AF289" s="135"/>
      <c r="AG289" s="135"/>
      <c r="AH289" s="135"/>
      <c r="AI289" s="135"/>
      <c r="AJ289" s="135"/>
      <c r="AK289" s="135"/>
      <c r="AL289" s="135"/>
      <c r="AM289" s="135"/>
      <c r="AN289" s="135"/>
      <c r="AO289" s="135"/>
      <c r="AP289" s="135"/>
      <c r="AQ289" s="135"/>
      <c r="AR289" s="135"/>
      <c r="AS289" s="135"/>
      <c r="AT289" s="135"/>
      <c r="AU289" s="135"/>
      <c r="AV289" s="135"/>
      <c r="AW289" s="135"/>
      <c r="AX289" s="135"/>
      <c r="AY289" s="135"/>
      <c r="AZ289" s="135"/>
      <c r="BA289" s="135"/>
      <c r="BB289" s="135"/>
      <c r="BC289" s="135"/>
      <c r="BD289" s="135"/>
      <c r="BE289" s="135"/>
      <c r="BF289" s="135"/>
      <c r="BG289" s="135"/>
      <c r="BH289" s="135"/>
      <c r="BI289" s="135"/>
      <c r="BJ289" s="135"/>
      <c r="BK289" s="135"/>
      <c r="BL289" s="135"/>
      <c r="BM289" s="135"/>
      <c r="BN289" s="135"/>
      <c r="BO289" s="135"/>
      <c r="BP289" s="135"/>
      <c r="BQ289" s="135"/>
      <c r="BR289" s="135"/>
      <c r="BS289" s="135"/>
      <c r="BT289" s="135"/>
      <c r="BU289" s="135"/>
      <c r="BV289" s="135"/>
      <c r="BW289" s="135"/>
      <c r="BX289" s="135"/>
      <c r="BY289" s="135"/>
      <c r="BZ289" s="135"/>
      <c r="CA289" s="135"/>
      <c r="CB289" s="135"/>
      <c r="CC289" s="135"/>
      <c r="CD289" s="135"/>
      <c r="CE289" s="135"/>
      <c r="CF289" s="135"/>
      <c r="CG289" s="135"/>
      <c r="CH289" s="135"/>
      <c r="CI289" s="135"/>
      <c r="CJ289" s="135"/>
      <c r="CK289" s="135"/>
      <c r="CL289" s="135"/>
      <c r="CM289" s="135"/>
      <c r="CN289" s="135"/>
      <c r="CO289" s="135"/>
      <c r="CP289" s="135"/>
      <c r="CQ289" s="135"/>
      <c r="CR289" s="135"/>
      <c r="CS289" s="135"/>
      <c r="CT289" s="135"/>
      <c r="CU289" s="135"/>
      <c r="CV289" s="135"/>
      <c r="CW289" s="135"/>
      <c r="CX289" s="136"/>
    </row>
    <row r="290" spans="2:102">
      <c r="B290" s="133"/>
      <c r="C290" s="135"/>
      <c r="D290" s="135"/>
      <c r="E290" s="135"/>
      <c r="F290" s="135"/>
      <c r="H290" s="135"/>
      <c r="I290" s="135"/>
      <c r="J290" s="135"/>
      <c r="K290" s="135"/>
      <c r="L290" s="135"/>
      <c r="M290" s="135"/>
      <c r="N290" s="135"/>
      <c r="O290" s="135"/>
      <c r="P290" s="135"/>
      <c r="Q290" s="135"/>
      <c r="R290" s="135"/>
      <c r="S290" s="135"/>
      <c r="T290" s="135"/>
      <c r="U290" s="135"/>
      <c r="V290" s="135"/>
      <c r="W290" s="135"/>
      <c r="X290" s="135"/>
      <c r="Y290" s="135"/>
      <c r="Z290" s="135"/>
      <c r="AA290" s="135"/>
      <c r="AB290" s="135"/>
      <c r="AC290" s="135"/>
      <c r="AD290" s="135"/>
      <c r="AE290" s="135"/>
      <c r="AF290" s="135"/>
      <c r="AG290" s="135"/>
      <c r="AH290" s="135"/>
      <c r="AI290" s="135"/>
      <c r="AJ290" s="135"/>
      <c r="AK290" s="135"/>
      <c r="AL290" s="135"/>
      <c r="AM290" s="135"/>
      <c r="AN290" s="135"/>
      <c r="AO290" s="135"/>
      <c r="AP290" s="135"/>
      <c r="AQ290" s="135"/>
      <c r="AR290" s="135"/>
      <c r="AS290" s="135"/>
      <c r="AT290" s="135"/>
      <c r="AU290" s="135"/>
      <c r="AV290" s="135"/>
      <c r="AW290" s="135"/>
      <c r="AX290" s="135"/>
      <c r="AY290" s="135"/>
      <c r="AZ290" s="135"/>
      <c r="BA290" s="135"/>
      <c r="BB290" s="135"/>
      <c r="BC290" s="135"/>
      <c r="BD290" s="135"/>
      <c r="BE290" s="135"/>
      <c r="BF290" s="135"/>
      <c r="BG290" s="135"/>
      <c r="BH290" s="135"/>
      <c r="BI290" s="135"/>
      <c r="BJ290" s="135"/>
      <c r="BK290" s="135"/>
      <c r="BL290" s="135"/>
      <c r="BM290" s="135"/>
      <c r="BN290" s="135"/>
      <c r="BO290" s="135"/>
      <c r="BP290" s="135"/>
      <c r="BQ290" s="135"/>
      <c r="BR290" s="135"/>
      <c r="BS290" s="135"/>
      <c r="BT290" s="135"/>
      <c r="BU290" s="135"/>
      <c r="BV290" s="135"/>
      <c r="BW290" s="135"/>
      <c r="BX290" s="135"/>
      <c r="BY290" s="135"/>
      <c r="BZ290" s="135"/>
      <c r="CA290" s="135"/>
      <c r="CB290" s="135"/>
      <c r="CC290" s="135"/>
      <c r="CD290" s="135"/>
      <c r="CE290" s="135"/>
      <c r="CF290" s="135"/>
      <c r="CG290" s="135"/>
      <c r="CH290" s="135"/>
      <c r="CI290" s="135"/>
      <c r="CJ290" s="135"/>
      <c r="CK290" s="135"/>
      <c r="CL290" s="135"/>
      <c r="CM290" s="135"/>
      <c r="CN290" s="135"/>
      <c r="CO290" s="135"/>
      <c r="CP290" s="135"/>
      <c r="CQ290" s="135"/>
      <c r="CR290" s="135"/>
      <c r="CS290" s="135"/>
      <c r="CT290" s="135"/>
      <c r="CU290" s="135"/>
      <c r="CV290" s="135"/>
      <c r="CW290" s="135"/>
      <c r="CX290" s="136"/>
    </row>
    <row r="291" spans="2:102">
      <c r="B291" s="139"/>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c r="AA291" s="140"/>
      <c r="AB291" s="140"/>
      <c r="AC291" s="140"/>
      <c r="AD291" s="140"/>
      <c r="AE291" s="140"/>
      <c r="AF291" s="140"/>
      <c r="AG291" s="140"/>
      <c r="AH291" s="140"/>
      <c r="AI291" s="140"/>
      <c r="AJ291" s="140"/>
      <c r="AK291" s="140"/>
      <c r="AL291" s="140"/>
      <c r="AM291" s="140"/>
      <c r="AN291" s="140"/>
      <c r="AO291" s="140"/>
      <c r="AP291" s="140"/>
      <c r="AQ291" s="140"/>
      <c r="AR291" s="140"/>
      <c r="AS291" s="140"/>
      <c r="AT291" s="140"/>
      <c r="AU291" s="140"/>
      <c r="AV291" s="140"/>
      <c r="AW291" s="140"/>
      <c r="AX291" s="140"/>
      <c r="AY291" s="140"/>
      <c r="AZ291" s="140"/>
      <c r="BA291" s="140"/>
      <c r="BB291" s="140"/>
      <c r="BC291" s="140"/>
      <c r="BD291" s="140"/>
      <c r="BE291" s="140"/>
      <c r="BF291" s="140"/>
      <c r="BG291" s="140"/>
      <c r="BH291" s="140"/>
      <c r="BI291" s="140"/>
      <c r="BJ291" s="140"/>
      <c r="BK291" s="140"/>
      <c r="BL291" s="140"/>
      <c r="BM291" s="140"/>
      <c r="BN291" s="140"/>
      <c r="BO291" s="140"/>
      <c r="BP291" s="140"/>
      <c r="BQ291" s="140"/>
      <c r="BR291" s="140"/>
      <c r="BS291" s="140"/>
      <c r="BT291" s="140"/>
      <c r="BU291" s="140"/>
      <c r="BV291" s="140"/>
      <c r="BW291" s="140"/>
      <c r="BX291" s="140"/>
      <c r="BY291" s="140"/>
      <c r="BZ291" s="140"/>
      <c r="CA291" s="140"/>
      <c r="CB291" s="140"/>
      <c r="CC291" s="140"/>
      <c r="CD291" s="140"/>
      <c r="CE291" s="140"/>
      <c r="CF291" s="140"/>
      <c r="CG291" s="140"/>
      <c r="CH291" s="140"/>
      <c r="CI291" s="140"/>
      <c r="CJ291" s="140"/>
      <c r="CK291" s="140"/>
      <c r="CL291" s="140"/>
      <c r="CM291" s="140"/>
      <c r="CN291" s="140"/>
      <c r="CO291" s="140"/>
      <c r="CP291" s="140"/>
      <c r="CQ291" s="140"/>
      <c r="CR291" s="140"/>
      <c r="CS291" s="140"/>
      <c r="CT291" s="140"/>
      <c r="CU291" s="140"/>
      <c r="CV291" s="140"/>
      <c r="CW291" s="140"/>
      <c r="CX291" s="141"/>
    </row>
    <row r="292" spans="2:102">
      <c r="B292" s="133"/>
      <c r="C292" s="135"/>
      <c r="D292" s="135"/>
      <c r="Z292" s="135"/>
      <c r="AA292" s="135"/>
      <c r="AB292" s="135"/>
      <c r="AC292" s="135"/>
      <c r="AD292" s="135"/>
      <c r="AE292" s="135"/>
      <c r="AF292" s="135"/>
      <c r="AG292" s="135"/>
      <c r="AH292" s="135"/>
      <c r="AI292" s="135"/>
      <c r="AJ292" s="135"/>
      <c r="AK292" s="135"/>
      <c r="AL292" s="135"/>
      <c r="AM292" s="135"/>
      <c r="AN292" s="135"/>
      <c r="AO292" s="135"/>
      <c r="AP292" s="135"/>
      <c r="AQ292" s="135"/>
      <c r="AR292" s="135"/>
      <c r="AS292" s="135"/>
      <c r="AT292" s="135"/>
      <c r="AU292" s="135"/>
      <c r="AV292" s="135"/>
      <c r="AW292" s="135"/>
      <c r="AX292" s="135"/>
      <c r="AY292" s="135"/>
      <c r="AZ292" s="135"/>
      <c r="BA292" s="135"/>
      <c r="BB292" s="135"/>
      <c r="BC292" s="135"/>
      <c r="BD292" s="135"/>
      <c r="BE292" s="135"/>
      <c r="BF292" s="135"/>
      <c r="BG292" s="135"/>
      <c r="BH292" s="135"/>
      <c r="BI292" s="135"/>
      <c r="BJ292" s="135"/>
      <c r="BK292" s="135"/>
      <c r="BL292" s="135"/>
      <c r="BM292" s="135"/>
      <c r="BN292" s="135"/>
      <c r="BO292" s="135"/>
      <c r="BP292" s="135"/>
      <c r="BQ292" s="135"/>
      <c r="BR292" s="135"/>
      <c r="BS292" s="135"/>
      <c r="BT292" s="135"/>
      <c r="BU292" s="135"/>
      <c r="BV292" s="135"/>
      <c r="BW292" s="135"/>
      <c r="BX292" s="135"/>
      <c r="BY292" s="135"/>
      <c r="BZ292" s="135"/>
      <c r="CA292" s="135"/>
      <c r="CB292" s="135"/>
      <c r="CC292" s="135"/>
      <c r="CD292" s="135"/>
      <c r="CE292" s="135"/>
      <c r="CF292" s="135"/>
      <c r="CG292" s="135"/>
      <c r="CH292" s="135"/>
      <c r="CI292" s="135"/>
      <c r="CJ292" s="135"/>
      <c r="CK292" s="135"/>
      <c r="CL292" s="135"/>
      <c r="CM292" s="135"/>
      <c r="CN292" s="135"/>
      <c r="CO292" s="135"/>
      <c r="CP292" s="135"/>
      <c r="CQ292" s="135"/>
      <c r="CR292" s="135"/>
      <c r="CS292" s="135"/>
      <c r="CT292" s="135"/>
      <c r="CU292" s="135"/>
      <c r="CV292" s="135"/>
      <c r="CW292" s="135"/>
      <c r="CX292" s="136"/>
    </row>
    <row r="293" spans="2:102">
      <c r="B293" s="133"/>
      <c r="C293" s="135"/>
      <c r="D293" s="135"/>
      <c r="E293" s="135"/>
      <c r="F293" s="135"/>
      <c r="G293" s="135"/>
      <c r="S293" s="135"/>
      <c r="T293" s="135"/>
      <c r="U293" s="135"/>
      <c r="V293" s="135"/>
      <c r="W293" s="135"/>
      <c r="X293" s="135"/>
      <c r="Y293" s="135"/>
      <c r="AB293" s="135"/>
      <c r="AC293" s="135"/>
      <c r="AD293" s="135"/>
      <c r="AE293" s="135"/>
      <c r="AF293" s="135"/>
      <c r="AG293" s="135"/>
      <c r="AH293" s="135"/>
      <c r="AI293" s="135"/>
      <c r="AJ293" s="135"/>
      <c r="AK293" s="135"/>
      <c r="AL293" s="135"/>
      <c r="AM293" s="135"/>
      <c r="AN293" s="135"/>
      <c r="AO293" s="135"/>
      <c r="AP293" s="135"/>
      <c r="AQ293" s="135"/>
      <c r="AR293" s="135"/>
      <c r="AS293" s="135"/>
      <c r="AT293" s="135"/>
      <c r="AU293" s="135"/>
      <c r="AV293" s="135"/>
      <c r="AW293" s="135"/>
      <c r="AX293" s="135"/>
      <c r="AY293" s="135"/>
      <c r="AZ293" s="135"/>
      <c r="BA293" s="135"/>
      <c r="BB293" s="135"/>
      <c r="BC293" s="135"/>
      <c r="BD293" s="135"/>
      <c r="BE293" s="135"/>
      <c r="BF293" s="135"/>
      <c r="BG293" s="135"/>
      <c r="BH293" s="135"/>
      <c r="BI293" s="135"/>
      <c r="BJ293" s="135"/>
      <c r="BK293" s="135"/>
      <c r="BL293" s="135"/>
      <c r="BM293" s="135"/>
      <c r="BN293" s="135"/>
      <c r="BO293" s="135"/>
      <c r="BP293" s="135"/>
      <c r="BQ293" s="135"/>
      <c r="BR293" s="135"/>
      <c r="BS293" s="135"/>
      <c r="BT293" s="135"/>
      <c r="BU293" s="135"/>
      <c r="BV293" s="135"/>
      <c r="BW293" s="135"/>
      <c r="BX293" s="135"/>
      <c r="BY293" s="135"/>
      <c r="BZ293" s="135"/>
      <c r="CA293" s="135"/>
      <c r="CB293" s="135"/>
      <c r="CC293" s="135"/>
      <c r="CD293" s="135"/>
      <c r="CE293" s="135"/>
      <c r="CF293" s="135"/>
      <c r="CG293" s="135"/>
      <c r="CH293" s="135"/>
      <c r="CI293" s="135"/>
      <c r="CJ293" s="135"/>
      <c r="CK293" s="135"/>
      <c r="CL293" s="135"/>
      <c r="CM293" s="135"/>
      <c r="CN293" s="135"/>
      <c r="CO293" s="135"/>
      <c r="CP293" s="135"/>
      <c r="CQ293" s="135"/>
      <c r="CR293" s="135"/>
      <c r="CS293" s="135"/>
      <c r="CT293" s="135"/>
      <c r="CU293" s="135"/>
      <c r="CV293" s="135"/>
      <c r="CW293" s="135"/>
      <c r="CX293" s="136"/>
    </row>
    <row r="294" spans="2:102">
      <c r="B294" s="133"/>
      <c r="C294" s="135"/>
      <c r="D294" s="135"/>
      <c r="E294" s="135"/>
      <c r="F294" s="135"/>
      <c r="G294" s="135"/>
      <c r="U294" s="135"/>
      <c r="V294" s="135"/>
      <c r="W294" s="135"/>
      <c r="X294" s="135"/>
      <c r="Y294" s="135"/>
      <c r="AB294" s="135"/>
      <c r="AC294" s="135"/>
      <c r="AD294" s="135"/>
      <c r="AE294" s="135"/>
      <c r="AF294" s="135"/>
      <c r="AG294" s="135"/>
      <c r="AH294" s="135"/>
      <c r="AI294" s="135"/>
      <c r="AJ294" s="135"/>
      <c r="AK294" s="135"/>
      <c r="AL294" s="135"/>
      <c r="AM294" s="135"/>
      <c r="AN294" s="135"/>
      <c r="AO294" s="135"/>
      <c r="AP294" s="135"/>
      <c r="AQ294" s="135"/>
      <c r="AR294" s="135"/>
      <c r="AS294" s="135"/>
      <c r="AT294" s="135"/>
      <c r="AU294" s="135"/>
      <c r="AV294" s="135"/>
      <c r="AW294" s="135"/>
      <c r="AX294" s="135"/>
      <c r="AY294" s="135"/>
      <c r="AZ294" s="135"/>
      <c r="BA294" s="135"/>
      <c r="BB294" s="135"/>
      <c r="BC294" s="135"/>
      <c r="BD294" s="135"/>
      <c r="BE294" s="135"/>
      <c r="BF294" s="135"/>
      <c r="BG294" s="135"/>
      <c r="BH294" s="135"/>
      <c r="BI294" s="135"/>
      <c r="BJ294" s="135"/>
      <c r="BK294" s="135"/>
      <c r="BL294" s="135"/>
      <c r="BM294" s="135"/>
      <c r="BN294" s="135"/>
      <c r="BO294" s="135"/>
      <c r="BP294" s="135"/>
      <c r="BQ294" s="135"/>
      <c r="BR294" s="135"/>
      <c r="BS294" s="135"/>
      <c r="BT294" s="135"/>
      <c r="BU294" s="135"/>
      <c r="BV294" s="135"/>
      <c r="BW294" s="135"/>
      <c r="BX294" s="135"/>
      <c r="BY294" s="135"/>
      <c r="BZ294" s="135"/>
      <c r="CA294" s="135"/>
      <c r="CB294" s="135"/>
      <c r="CC294" s="135"/>
      <c r="CD294" s="135"/>
      <c r="CE294" s="135"/>
      <c r="CF294" s="135"/>
      <c r="CG294" s="135"/>
      <c r="CH294" s="135"/>
      <c r="CI294" s="135"/>
      <c r="CJ294" s="135"/>
      <c r="CK294" s="135"/>
      <c r="CL294" s="135"/>
      <c r="CM294" s="135"/>
      <c r="CN294" s="135"/>
      <c r="CO294" s="135"/>
      <c r="CP294" s="135"/>
      <c r="CQ294" s="135"/>
      <c r="CR294" s="135"/>
      <c r="CS294" s="135"/>
      <c r="CT294" s="135"/>
      <c r="CU294" s="135"/>
      <c r="CV294" s="135"/>
      <c r="CW294" s="135"/>
      <c r="CX294" s="136"/>
    </row>
    <row r="295" spans="2:102">
      <c r="B295" s="133"/>
      <c r="C295" s="135"/>
      <c r="D295" s="135"/>
      <c r="E295" s="137"/>
      <c r="F295" s="138"/>
      <c r="G295" s="138"/>
      <c r="W295" s="135"/>
      <c r="X295" s="135"/>
      <c r="Y295" s="135"/>
      <c r="AB295" s="135"/>
      <c r="AC295" s="135"/>
      <c r="AD295" s="135"/>
      <c r="AE295" s="135"/>
      <c r="AF295" s="135"/>
      <c r="AG295" s="135"/>
      <c r="AH295" s="135"/>
      <c r="AI295" s="135"/>
      <c r="AJ295" s="135"/>
      <c r="AK295" s="135"/>
      <c r="AL295" s="135"/>
      <c r="AM295" s="135"/>
      <c r="AN295" s="135"/>
      <c r="AO295" s="135"/>
      <c r="AP295" s="135"/>
      <c r="AQ295" s="135"/>
      <c r="AR295" s="135"/>
      <c r="AS295" s="135"/>
      <c r="AT295" s="135"/>
      <c r="AU295" s="135"/>
      <c r="AV295" s="135"/>
      <c r="AW295" s="135"/>
      <c r="AX295" s="135"/>
      <c r="AY295" s="135"/>
      <c r="AZ295" s="135"/>
      <c r="BA295" s="135"/>
      <c r="BB295" s="135"/>
      <c r="BC295" s="135"/>
      <c r="BD295" s="135"/>
      <c r="BE295" s="135"/>
      <c r="BF295" s="135"/>
      <c r="BG295" s="135"/>
      <c r="BH295" s="135"/>
      <c r="BI295" s="135"/>
      <c r="BJ295" s="135"/>
      <c r="BK295" s="135"/>
      <c r="BL295" s="135"/>
      <c r="BM295" s="135"/>
      <c r="BN295" s="135"/>
      <c r="BO295" s="135"/>
      <c r="BP295" s="135"/>
      <c r="BQ295" s="135"/>
      <c r="BR295" s="135"/>
      <c r="BS295" s="135"/>
      <c r="BT295" s="135"/>
      <c r="BU295" s="135"/>
      <c r="BV295" s="135"/>
      <c r="BW295" s="135"/>
      <c r="BX295" s="135"/>
      <c r="BY295" s="135"/>
      <c r="BZ295" s="135"/>
      <c r="CA295" s="135"/>
      <c r="CB295" s="135"/>
      <c r="CC295" s="135"/>
      <c r="CD295" s="135"/>
      <c r="CE295" s="135"/>
      <c r="CF295" s="135"/>
      <c r="CG295" s="135"/>
      <c r="CH295" s="135"/>
      <c r="CI295" s="135"/>
      <c r="CJ295" s="135"/>
      <c r="CK295" s="135"/>
      <c r="CL295" s="135"/>
      <c r="CM295" s="135"/>
      <c r="CN295" s="135"/>
      <c r="CO295" s="135"/>
      <c r="CP295" s="135"/>
      <c r="CQ295" s="135"/>
      <c r="CR295" s="135"/>
      <c r="CS295" s="135"/>
      <c r="CT295" s="135"/>
      <c r="CU295" s="135"/>
      <c r="CV295" s="135"/>
      <c r="CW295" s="135"/>
      <c r="CX295" s="136"/>
    </row>
    <row r="296" spans="2:102">
      <c r="B296" s="133"/>
      <c r="C296" s="135"/>
      <c r="D296" s="135"/>
      <c r="E296" s="135"/>
      <c r="F296" s="135"/>
      <c r="G296" s="135"/>
      <c r="V296" s="135"/>
      <c r="W296" s="135"/>
      <c r="X296" s="135"/>
      <c r="Y296" s="135"/>
      <c r="AB296" s="135"/>
      <c r="AC296" s="135"/>
      <c r="AD296" s="135"/>
      <c r="AE296" s="135"/>
      <c r="AF296" s="135"/>
      <c r="AG296" s="135"/>
      <c r="AH296" s="135"/>
      <c r="AI296" s="135"/>
      <c r="AJ296" s="135"/>
      <c r="AK296" s="135"/>
      <c r="AL296" s="135"/>
      <c r="AM296" s="135"/>
      <c r="AN296" s="135"/>
      <c r="AO296" s="135"/>
      <c r="AP296" s="135"/>
      <c r="AQ296" s="135"/>
      <c r="AR296" s="135"/>
      <c r="AS296" s="135"/>
      <c r="AT296" s="135"/>
      <c r="AU296" s="135"/>
      <c r="AV296" s="135"/>
      <c r="AW296" s="135"/>
      <c r="AX296" s="135"/>
      <c r="AY296" s="135"/>
      <c r="AZ296" s="135"/>
      <c r="BA296" s="135"/>
      <c r="BB296" s="135"/>
      <c r="BC296" s="135"/>
      <c r="BD296" s="135"/>
      <c r="BE296" s="135"/>
      <c r="BF296" s="135"/>
      <c r="BG296" s="135"/>
      <c r="BH296" s="135"/>
      <c r="BI296" s="135"/>
      <c r="BJ296" s="135"/>
      <c r="BK296" s="135"/>
      <c r="BL296" s="135"/>
      <c r="BM296" s="135"/>
      <c r="BN296" s="135"/>
      <c r="BO296" s="135"/>
      <c r="BP296" s="135"/>
      <c r="BQ296" s="135"/>
      <c r="BR296" s="135"/>
      <c r="BS296" s="135"/>
      <c r="BT296" s="135"/>
      <c r="BU296" s="135"/>
      <c r="BV296" s="135"/>
      <c r="BW296" s="135"/>
      <c r="BX296" s="135"/>
      <c r="BY296" s="135"/>
      <c r="BZ296" s="135"/>
      <c r="CA296" s="135"/>
      <c r="CB296" s="135"/>
      <c r="CC296" s="135"/>
      <c r="CD296" s="135"/>
      <c r="CE296" s="135"/>
      <c r="CF296" s="135"/>
      <c r="CG296" s="135"/>
      <c r="CH296" s="135"/>
      <c r="CI296" s="135"/>
      <c r="CJ296" s="135"/>
      <c r="CK296" s="135"/>
      <c r="CL296" s="135"/>
      <c r="CM296" s="135"/>
      <c r="CN296" s="135"/>
      <c r="CO296" s="135"/>
      <c r="CP296" s="135"/>
      <c r="CQ296" s="135"/>
      <c r="CR296" s="135"/>
      <c r="CS296" s="135"/>
      <c r="CT296" s="135"/>
      <c r="CU296" s="135"/>
      <c r="CV296" s="135"/>
      <c r="CW296" s="135"/>
      <c r="CX296" s="136"/>
    </row>
    <row r="297" spans="2:102">
      <c r="B297" s="133"/>
      <c r="C297" s="135"/>
      <c r="D297" s="135"/>
      <c r="E297" s="135"/>
      <c r="F297" s="135"/>
      <c r="G297" s="135"/>
      <c r="X297" s="135"/>
      <c r="Y297" s="135"/>
      <c r="AB297" s="135"/>
      <c r="AC297" s="135"/>
      <c r="AD297" s="135"/>
      <c r="AE297" s="135"/>
      <c r="AF297" s="135"/>
      <c r="AG297" s="135"/>
      <c r="AH297" s="135"/>
      <c r="AI297" s="135"/>
      <c r="AJ297" s="135"/>
      <c r="AK297" s="135"/>
      <c r="AL297" s="135"/>
      <c r="AM297" s="135"/>
      <c r="AN297" s="135"/>
      <c r="AO297" s="135"/>
      <c r="AP297" s="135"/>
      <c r="AQ297" s="135"/>
      <c r="AR297" s="135"/>
      <c r="AS297" s="135"/>
      <c r="AT297" s="135"/>
      <c r="AU297" s="135"/>
      <c r="AV297" s="135"/>
      <c r="AW297" s="135"/>
      <c r="AX297" s="135"/>
      <c r="AY297" s="135"/>
      <c r="AZ297" s="135"/>
      <c r="BA297" s="135"/>
      <c r="BB297" s="135"/>
      <c r="BC297" s="135"/>
      <c r="BD297" s="135"/>
      <c r="BE297" s="135"/>
      <c r="BF297" s="135"/>
      <c r="BG297" s="135"/>
      <c r="BH297" s="135"/>
      <c r="BI297" s="135"/>
      <c r="BJ297" s="135"/>
      <c r="BK297" s="135"/>
      <c r="BL297" s="135"/>
      <c r="BM297" s="135"/>
      <c r="BN297" s="135"/>
      <c r="BO297" s="135"/>
      <c r="BP297" s="135"/>
      <c r="BQ297" s="135"/>
      <c r="BR297" s="135"/>
      <c r="BS297" s="135"/>
      <c r="BT297" s="135"/>
      <c r="BU297" s="135"/>
      <c r="BV297" s="135"/>
      <c r="BW297" s="135"/>
      <c r="BX297" s="135"/>
      <c r="BY297" s="135"/>
      <c r="BZ297" s="135"/>
      <c r="CA297" s="135"/>
      <c r="CB297" s="135"/>
      <c r="CC297" s="135"/>
      <c r="CD297" s="135"/>
      <c r="CE297" s="135"/>
      <c r="CF297" s="135"/>
      <c r="CG297" s="135"/>
      <c r="CH297" s="135"/>
      <c r="CI297" s="135"/>
      <c r="CJ297" s="135"/>
      <c r="CK297" s="135"/>
      <c r="CL297" s="135"/>
      <c r="CM297" s="135"/>
      <c r="CN297" s="135"/>
      <c r="CO297" s="135"/>
      <c r="CP297" s="135"/>
      <c r="CQ297" s="135"/>
      <c r="CR297" s="135"/>
      <c r="CS297" s="135"/>
      <c r="CT297" s="135"/>
      <c r="CU297" s="135"/>
      <c r="CV297" s="135"/>
      <c r="CW297" s="135"/>
      <c r="CX297" s="136"/>
    </row>
    <row r="298" spans="2:102">
      <c r="B298" s="133"/>
      <c r="C298" s="135"/>
      <c r="D298" s="135"/>
      <c r="E298" s="135"/>
      <c r="F298" s="135"/>
      <c r="G298" s="135"/>
      <c r="W298" s="135"/>
      <c r="X298" s="135"/>
      <c r="Y298" s="135"/>
      <c r="AB298" s="135"/>
      <c r="AC298" s="135"/>
      <c r="AD298" s="135"/>
      <c r="AE298" s="135"/>
      <c r="AF298" s="135"/>
      <c r="AG298" s="135"/>
      <c r="AH298" s="135"/>
      <c r="AI298" s="135"/>
      <c r="AJ298" s="135"/>
      <c r="AK298" s="135"/>
      <c r="AL298" s="135"/>
      <c r="AM298" s="135"/>
      <c r="AN298" s="135"/>
      <c r="AO298" s="135"/>
      <c r="AP298" s="135"/>
      <c r="AQ298" s="135"/>
      <c r="AR298" s="135"/>
      <c r="AS298" s="135"/>
      <c r="AT298" s="135"/>
      <c r="AU298" s="135"/>
      <c r="AV298" s="135"/>
      <c r="AW298" s="135"/>
      <c r="AX298" s="135"/>
      <c r="AY298" s="135"/>
      <c r="AZ298" s="135"/>
      <c r="BA298" s="135"/>
      <c r="BB298" s="135"/>
      <c r="BC298" s="135"/>
      <c r="BD298" s="135"/>
      <c r="BE298" s="135"/>
      <c r="BF298" s="135"/>
      <c r="BG298" s="135"/>
      <c r="BH298" s="135"/>
      <c r="BI298" s="135"/>
      <c r="BJ298" s="135"/>
      <c r="BK298" s="135"/>
      <c r="BL298" s="135"/>
      <c r="BM298" s="135"/>
      <c r="BN298" s="135"/>
      <c r="BO298" s="135"/>
      <c r="BP298" s="135"/>
      <c r="BQ298" s="135"/>
      <c r="BR298" s="135"/>
      <c r="BS298" s="135"/>
      <c r="BT298" s="135"/>
      <c r="BU298" s="135"/>
      <c r="BV298" s="135"/>
      <c r="BW298" s="135"/>
      <c r="BX298" s="135"/>
      <c r="BY298" s="135"/>
      <c r="BZ298" s="135"/>
      <c r="CA298" s="135"/>
      <c r="CB298" s="135"/>
      <c r="CC298" s="135"/>
      <c r="CD298" s="135"/>
      <c r="CE298" s="135"/>
      <c r="CF298" s="135"/>
      <c r="CG298" s="135"/>
      <c r="CH298" s="135"/>
      <c r="CI298" s="135"/>
      <c r="CJ298" s="135"/>
      <c r="CK298" s="135"/>
      <c r="CL298" s="135"/>
      <c r="CM298" s="135"/>
      <c r="CN298" s="135"/>
      <c r="CO298" s="135"/>
      <c r="CP298" s="135"/>
      <c r="CQ298" s="135"/>
      <c r="CR298" s="135"/>
      <c r="CS298" s="135"/>
      <c r="CT298" s="135"/>
      <c r="CU298" s="135"/>
      <c r="CV298" s="135"/>
      <c r="CW298" s="135"/>
      <c r="CX298" s="136"/>
    </row>
    <row r="299" spans="2:102">
      <c r="B299" s="133"/>
      <c r="C299" s="135"/>
      <c r="D299" s="135"/>
      <c r="E299" s="135"/>
      <c r="F299" s="135"/>
      <c r="G299" s="135"/>
      <c r="X299" s="135"/>
      <c r="Y299" s="135"/>
      <c r="AB299" s="135"/>
      <c r="AC299" s="135"/>
      <c r="AD299" s="135"/>
      <c r="AE299" s="135"/>
      <c r="AF299" s="135"/>
      <c r="AG299" s="135"/>
      <c r="AH299" s="135"/>
      <c r="AI299" s="135"/>
      <c r="AJ299" s="135"/>
      <c r="AK299" s="135"/>
      <c r="AL299" s="135"/>
      <c r="AM299" s="135"/>
      <c r="AN299" s="135"/>
      <c r="AO299" s="135"/>
      <c r="AP299" s="135"/>
      <c r="AQ299" s="135"/>
      <c r="AR299" s="135"/>
      <c r="AS299" s="135"/>
      <c r="AT299" s="135"/>
      <c r="AU299" s="135"/>
      <c r="AV299" s="135"/>
      <c r="AW299" s="135"/>
      <c r="AX299" s="135"/>
      <c r="AY299" s="135"/>
      <c r="AZ299" s="135"/>
      <c r="BA299" s="135"/>
      <c r="BB299" s="135"/>
      <c r="BC299" s="135"/>
      <c r="BD299" s="135"/>
      <c r="BE299" s="135"/>
      <c r="BF299" s="135"/>
      <c r="BG299" s="135"/>
      <c r="BH299" s="135"/>
      <c r="BI299" s="135"/>
      <c r="BJ299" s="135"/>
      <c r="BK299" s="135"/>
      <c r="BL299" s="135"/>
      <c r="BM299" s="135"/>
      <c r="BN299" s="135"/>
      <c r="BO299" s="135"/>
      <c r="BP299" s="135"/>
      <c r="BQ299" s="135"/>
      <c r="BR299" s="135"/>
      <c r="BS299" s="135"/>
      <c r="BT299" s="135"/>
      <c r="BU299" s="135"/>
      <c r="BV299" s="135"/>
      <c r="BW299" s="135"/>
      <c r="BX299" s="135"/>
      <c r="BY299" s="135"/>
      <c r="BZ299" s="135"/>
      <c r="CA299" s="135"/>
      <c r="CB299" s="135"/>
      <c r="CC299" s="135"/>
      <c r="CD299" s="135"/>
      <c r="CE299" s="135"/>
      <c r="CF299" s="135"/>
      <c r="CG299" s="135"/>
      <c r="CH299" s="135"/>
      <c r="CI299" s="135"/>
      <c r="CJ299" s="135"/>
      <c r="CK299" s="135"/>
      <c r="CL299" s="135"/>
      <c r="CM299" s="135"/>
      <c r="CN299" s="135"/>
      <c r="CO299" s="135"/>
      <c r="CP299" s="135"/>
      <c r="CQ299" s="135"/>
      <c r="CR299" s="135"/>
      <c r="CS299" s="135"/>
      <c r="CT299" s="135"/>
      <c r="CU299" s="135"/>
      <c r="CV299" s="135"/>
      <c r="CW299" s="135"/>
      <c r="CX299" s="136"/>
    </row>
    <row r="300" spans="2:102">
      <c r="B300" s="133"/>
      <c r="C300" s="135"/>
      <c r="D300" s="135"/>
      <c r="E300" s="135"/>
      <c r="F300" s="135"/>
      <c r="AD300" s="135"/>
      <c r="AE300" s="135"/>
      <c r="AF300" s="135"/>
      <c r="AG300" s="135"/>
      <c r="AH300" s="135"/>
      <c r="AI300" s="135"/>
      <c r="AJ300" s="135"/>
      <c r="AK300" s="135"/>
      <c r="AL300" s="135"/>
      <c r="AM300" s="135"/>
      <c r="AN300" s="135"/>
      <c r="AO300" s="135"/>
      <c r="AP300" s="135"/>
      <c r="AQ300" s="135"/>
      <c r="AR300" s="135"/>
      <c r="AS300" s="135"/>
      <c r="AT300" s="135"/>
      <c r="AU300" s="135"/>
      <c r="AV300" s="135"/>
      <c r="AW300" s="135"/>
      <c r="AX300" s="135"/>
      <c r="AY300" s="135"/>
      <c r="AZ300" s="135"/>
      <c r="BA300" s="135"/>
      <c r="BB300" s="135"/>
      <c r="BC300" s="135"/>
      <c r="BD300" s="135"/>
      <c r="BE300" s="135"/>
      <c r="BF300" s="135"/>
      <c r="BG300" s="135"/>
      <c r="BH300" s="135"/>
      <c r="BI300" s="135"/>
      <c r="BJ300" s="135"/>
      <c r="BK300" s="135"/>
      <c r="BL300" s="135"/>
      <c r="BM300" s="135"/>
      <c r="BN300" s="135"/>
      <c r="BO300" s="135"/>
      <c r="BP300" s="135"/>
      <c r="BQ300" s="135"/>
      <c r="BR300" s="135"/>
      <c r="BS300" s="135"/>
      <c r="BT300" s="135"/>
      <c r="BU300" s="135"/>
      <c r="BV300" s="135"/>
      <c r="BW300" s="135"/>
      <c r="BX300" s="135"/>
      <c r="BY300" s="135"/>
      <c r="BZ300" s="135"/>
      <c r="CA300" s="135"/>
      <c r="CB300" s="135"/>
      <c r="CC300" s="135"/>
      <c r="CD300" s="135"/>
      <c r="CE300" s="135"/>
      <c r="CF300" s="135"/>
      <c r="CG300" s="135"/>
      <c r="CH300" s="135"/>
      <c r="CI300" s="135"/>
      <c r="CJ300" s="135"/>
      <c r="CK300" s="135"/>
      <c r="CL300" s="135"/>
      <c r="CM300" s="135"/>
      <c r="CN300" s="135"/>
      <c r="CO300" s="135"/>
      <c r="CP300" s="135"/>
      <c r="CQ300" s="135"/>
      <c r="CR300" s="135"/>
      <c r="CS300" s="135"/>
      <c r="CT300" s="135"/>
      <c r="CU300" s="135"/>
      <c r="CV300" s="135"/>
      <c r="CW300" s="135"/>
      <c r="CX300" s="136"/>
    </row>
    <row r="301" spans="2:102">
      <c r="B301" s="133"/>
      <c r="C301" s="135"/>
      <c r="D301" s="135"/>
      <c r="E301" s="135"/>
      <c r="F301" s="135"/>
      <c r="AG301" s="135"/>
      <c r="AH301" s="135"/>
      <c r="AI301" s="135"/>
      <c r="AJ301" s="135"/>
      <c r="AK301" s="135"/>
      <c r="AL301" s="135"/>
      <c r="AM301" s="135"/>
      <c r="AN301" s="135"/>
      <c r="AO301" s="135"/>
      <c r="AP301" s="135"/>
      <c r="AQ301" s="135"/>
      <c r="AR301" s="135"/>
      <c r="AS301" s="135"/>
      <c r="AT301" s="135"/>
      <c r="AU301" s="135"/>
      <c r="AV301" s="135"/>
      <c r="AW301" s="135"/>
      <c r="AX301" s="135"/>
      <c r="AY301" s="135"/>
      <c r="AZ301" s="135"/>
      <c r="BA301" s="135"/>
      <c r="BB301" s="135"/>
      <c r="BC301" s="135"/>
      <c r="BD301" s="135"/>
      <c r="BE301" s="135"/>
      <c r="BF301" s="135"/>
      <c r="BG301" s="135"/>
      <c r="BH301" s="135"/>
      <c r="BI301" s="135"/>
      <c r="BJ301" s="135"/>
      <c r="BK301" s="135"/>
      <c r="BL301" s="135"/>
      <c r="BM301" s="135"/>
      <c r="BN301" s="135"/>
      <c r="BO301" s="135"/>
      <c r="BP301" s="135"/>
      <c r="BQ301" s="135"/>
      <c r="BR301" s="135"/>
      <c r="BS301" s="135"/>
      <c r="BT301" s="135"/>
      <c r="BU301" s="135"/>
      <c r="BV301" s="135"/>
      <c r="BW301" s="135"/>
      <c r="BX301" s="135"/>
      <c r="BY301" s="135"/>
      <c r="BZ301" s="135"/>
      <c r="CA301" s="135"/>
      <c r="CB301" s="135"/>
      <c r="CC301" s="135"/>
      <c r="CD301" s="135"/>
      <c r="CE301" s="135"/>
      <c r="CF301" s="135"/>
      <c r="CG301" s="135"/>
      <c r="CH301" s="135"/>
      <c r="CI301" s="135"/>
      <c r="CJ301" s="135"/>
      <c r="CK301" s="135"/>
      <c r="CL301" s="135"/>
      <c r="CM301" s="135"/>
      <c r="CN301" s="135"/>
      <c r="CO301" s="135"/>
      <c r="CP301" s="135"/>
      <c r="CQ301" s="135"/>
      <c r="CR301" s="135"/>
      <c r="CS301" s="135"/>
      <c r="CT301" s="135"/>
      <c r="CU301" s="135"/>
      <c r="CV301" s="135"/>
      <c r="CW301" s="135"/>
      <c r="CX301" s="136"/>
    </row>
    <row r="302" spans="2:102">
      <c r="B302" s="133"/>
      <c r="C302" s="135"/>
      <c r="D302" s="135"/>
      <c r="E302" s="135"/>
      <c r="F302" s="135"/>
      <c r="AE302" s="135"/>
      <c r="AF302" s="135"/>
      <c r="AG302" s="135"/>
      <c r="AH302" s="135"/>
      <c r="AI302" s="135"/>
      <c r="AJ302" s="135"/>
      <c r="AK302" s="135"/>
      <c r="AL302" s="135"/>
      <c r="AM302" s="135"/>
      <c r="AN302" s="135"/>
      <c r="AO302" s="135"/>
      <c r="AP302" s="135"/>
      <c r="AQ302" s="135"/>
      <c r="AR302" s="135"/>
      <c r="AS302" s="135"/>
      <c r="AT302" s="135"/>
      <c r="AU302" s="135"/>
      <c r="AV302" s="135"/>
      <c r="AW302" s="135"/>
      <c r="AX302" s="135"/>
      <c r="AY302" s="135"/>
      <c r="AZ302" s="135"/>
      <c r="BA302" s="135"/>
      <c r="BB302" s="135"/>
      <c r="BC302" s="135"/>
      <c r="BD302" s="135"/>
      <c r="BE302" s="135"/>
      <c r="BF302" s="135"/>
      <c r="BG302" s="135"/>
      <c r="BH302" s="135"/>
      <c r="BI302" s="135"/>
      <c r="BJ302" s="135"/>
      <c r="BK302" s="135"/>
      <c r="BL302" s="135"/>
      <c r="BM302" s="135"/>
      <c r="BN302" s="135"/>
      <c r="BO302" s="135"/>
      <c r="BP302" s="135"/>
      <c r="BQ302" s="135"/>
      <c r="BR302" s="135"/>
      <c r="BS302" s="135"/>
      <c r="BT302" s="135"/>
      <c r="BU302" s="135"/>
      <c r="BV302" s="135"/>
      <c r="BW302" s="135"/>
      <c r="BX302" s="135"/>
      <c r="BY302" s="135"/>
      <c r="BZ302" s="135"/>
      <c r="CA302" s="135"/>
      <c r="CB302" s="135"/>
      <c r="CC302" s="135"/>
      <c r="CD302" s="135"/>
      <c r="CE302" s="135"/>
      <c r="CF302" s="135"/>
      <c r="CG302" s="135"/>
      <c r="CH302" s="135"/>
      <c r="CI302" s="135"/>
      <c r="CJ302" s="135"/>
      <c r="CK302" s="135"/>
      <c r="CL302" s="135"/>
      <c r="CM302" s="135"/>
      <c r="CN302" s="135"/>
      <c r="CO302" s="135"/>
      <c r="CP302" s="135"/>
      <c r="CQ302" s="135"/>
      <c r="CR302" s="135"/>
      <c r="CS302" s="135"/>
      <c r="CT302" s="135"/>
      <c r="CU302" s="135"/>
      <c r="CV302" s="135"/>
      <c r="CW302" s="135"/>
      <c r="CX302" s="136"/>
    </row>
    <row r="303" spans="2:102">
      <c r="B303" s="133"/>
      <c r="C303" s="135"/>
      <c r="D303" s="135"/>
      <c r="E303" s="135"/>
      <c r="F303" s="135"/>
      <c r="AE303" s="135"/>
      <c r="AF303" s="135"/>
      <c r="AG303" s="135"/>
      <c r="AH303" s="135"/>
      <c r="AI303" s="135"/>
      <c r="AJ303" s="135"/>
      <c r="AK303" s="135"/>
      <c r="AL303" s="135"/>
      <c r="AM303" s="135"/>
      <c r="AN303" s="135"/>
      <c r="AO303" s="135"/>
      <c r="AP303" s="135"/>
      <c r="AQ303" s="135"/>
      <c r="AR303" s="135"/>
      <c r="AS303" s="135"/>
      <c r="AT303" s="135"/>
      <c r="AU303" s="135"/>
      <c r="AV303" s="135"/>
      <c r="AW303" s="135"/>
      <c r="AX303" s="135"/>
      <c r="AY303" s="135"/>
      <c r="AZ303" s="135"/>
      <c r="BA303" s="135"/>
      <c r="BB303" s="135"/>
      <c r="BC303" s="135"/>
      <c r="BD303" s="135"/>
      <c r="BE303" s="135"/>
      <c r="BF303" s="135"/>
      <c r="BG303" s="135"/>
      <c r="BH303" s="135"/>
      <c r="BI303" s="135"/>
      <c r="BJ303" s="135"/>
      <c r="BK303" s="135"/>
      <c r="BL303" s="135"/>
      <c r="BM303" s="135"/>
      <c r="BN303" s="135"/>
      <c r="BO303" s="135"/>
      <c r="BP303" s="135"/>
      <c r="BQ303" s="135"/>
      <c r="BR303" s="135"/>
      <c r="BS303" s="135"/>
      <c r="BT303" s="135"/>
      <c r="BU303" s="135"/>
      <c r="BV303" s="135"/>
      <c r="BW303" s="135"/>
      <c r="BX303" s="135"/>
      <c r="BY303" s="135"/>
      <c r="BZ303" s="135"/>
      <c r="CA303" s="135"/>
      <c r="CB303" s="135"/>
      <c r="CC303" s="135"/>
      <c r="CD303" s="135"/>
      <c r="CE303" s="135"/>
      <c r="CF303" s="135"/>
      <c r="CG303" s="135"/>
      <c r="CH303" s="135"/>
      <c r="CI303" s="135"/>
      <c r="CJ303" s="135"/>
      <c r="CK303" s="135"/>
      <c r="CL303" s="135"/>
      <c r="CM303" s="135"/>
      <c r="CN303" s="135"/>
      <c r="CO303" s="135"/>
      <c r="CP303" s="135"/>
      <c r="CQ303" s="135"/>
      <c r="CR303" s="135"/>
      <c r="CS303" s="135"/>
      <c r="CT303" s="135"/>
      <c r="CU303" s="135"/>
      <c r="CV303" s="135"/>
      <c r="CW303" s="135"/>
      <c r="CX303" s="136"/>
    </row>
    <row r="304" spans="2:102">
      <c r="B304" s="133"/>
      <c r="C304" s="135"/>
      <c r="D304" s="135"/>
      <c r="E304" s="135"/>
      <c r="F304" s="135"/>
      <c r="AE304" s="135"/>
      <c r="AF304" s="135"/>
      <c r="AG304" s="135"/>
      <c r="AH304" s="135"/>
      <c r="AI304" s="135"/>
      <c r="AJ304" s="135"/>
      <c r="AK304" s="135"/>
      <c r="AL304" s="135"/>
      <c r="AM304" s="135"/>
      <c r="AN304" s="135"/>
      <c r="AO304" s="135"/>
      <c r="AP304" s="135"/>
      <c r="AQ304" s="135"/>
      <c r="AR304" s="135"/>
      <c r="AS304" s="135"/>
      <c r="AT304" s="135"/>
      <c r="AU304" s="135"/>
      <c r="AV304" s="135"/>
      <c r="AW304" s="135"/>
      <c r="AX304" s="135"/>
      <c r="AY304" s="135"/>
      <c r="AZ304" s="135"/>
      <c r="BA304" s="135"/>
      <c r="BB304" s="135"/>
      <c r="BC304" s="135"/>
      <c r="BD304" s="135"/>
      <c r="BE304" s="135"/>
      <c r="BF304" s="135"/>
      <c r="BG304" s="135"/>
      <c r="BH304" s="135"/>
      <c r="BI304" s="135"/>
      <c r="BJ304" s="135"/>
      <c r="BK304" s="135"/>
      <c r="BL304" s="135"/>
      <c r="BM304" s="135"/>
      <c r="BN304" s="135"/>
      <c r="BO304" s="135"/>
      <c r="BP304" s="135"/>
      <c r="BQ304" s="135"/>
      <c r="BR304" s="135"/>
      <c r="BS304" s="135"/>
      <c r="BT304" s="135"/>
      <c r="BU304" s="135"/>
      <c r="BV304" s="135"/>
      <c r="BW304" s="135"/>
      <c r="BX304" s="135"/>
      <c r="BY304" s="135"/>
      <c r="BZ304" s="135"/>
      <c r="CA304" s="135"/>
      <c r="CB304" s="135"/>
      <c r="CC304" s="135"/>
      <c r="CD304" s="135"/>
      <c r="CE304" s="135"/>
      <c r="CF304" s="135"/>
      <c r="CG304" s="135"/>
      <c r="CH304" s="135"/>
      <c r="CI304" s="135"/>
      <c r="CJ304" s="135"/>
      <c r="CK304" s="135"/>
      <c r="CL304" s="135"/>
      <c r="CM304" s="135"/>
      <c r="CN304" s="135"/>
      <c r="CO304" s="135"/>
      <c r="CP304" s="135"/>
      <c r="CQ304" s="135"/>
      <c r="CR304" s="135"/>
      <c r="CS304" s="135"/>
      <c r="CT304" s="135"/>
      <c r="CU304" s="135"/>
      <c r="CV304" s="135"/>
      <c r="CW304" s="135"/>
      <c r="CX304" s="136"/>
    </row>
    <row r="305" spans="2:102">
      <c r="B305" s="133"/>
      <c r="C305" s="135"/>
      <c r="D305" s="135"/>
      <c r="E305" s="135"/>
      <c r="F305" s="135"/>
      <c r="H305" s="135" t="s">
        <v>107</v>
      </c>
      <c r="I305" s="135"/>
      <c r="J305" s="135"/>
      <c r="K305" s="135"/>
      <c r="L305" s="135"/>
      <c r="M305" s="135"/>
      <c r="N305" s="135" t="s">
        <v>155</v>
      </c>
      <c r="O305" s="135"/>
      <c r="P305" s="135"/>
      <c r="Q305" s="135"/>
      <c r="R305" s="135"/>
      <c r="S305" s="135"/>
      <c r="AB305" s="135"/>
      <c r="AC305" s="135"/>
      <c r="AD305" s="135"/>
      <c r="AE305" s="135"/>
      <c r="AF305" s="135"/>
      <c r="AG305" s="135"/>
      <c r="AH305" s="135"/>
      <c r="AI305" s="135"/>
      <c r="AJ305" s="135"/>
      <c r="AK305" s="135"/>
      <c r="AL305" s="135"/>
      <c r="AM305" s="135"/>
      <c r="AN305" s="135"/>
      <c r="AO305" s="135"/>
      <c r="AP305" s="135"/>
      <c r="AQ305" s="135"/>
      <c r="AR305" s="135"/>
      <c r="AS305" s="135"/>
      <c r="AT305" s="135"/>
      <c r="AU305" s="135"/>
      <c r="AV305" s="135"/>
      <c r="AW305" s="135"/>
      <c r="AX305" s="135"/>
      <c r="AY305" s="135"/>
      <c r="AZ305" s="135"/>
      <c r="BA305" s="135"/>
      <c r="BB305" s="135"/>
      <c r="BC305" s="135"/>
      <c r="BD305" s="135"/>
      <c r="BE305" s="135"/>
      <c r="BF305" s="135"/>
      <c r="BG305" s="135"/>
      <c r="BH305" s="135"/>
      <c r="BI305" s="135"/>
      <c r="BJ305" s="135"/>
      <c r="BK305" s="135"/>
      <c r="BL305" s="135"/>
      <c r="BM305" s="135"/>
      <c r="BN305" s="135"/>
      <c r="BO305" s="135"/>
      <c r="BP305" s="135"/>
      <c r="BQ305" s="135"/>
      <c r="BR305" s="135"/>
      <c r="BS305" s="135"/>
      <c r="BT305" s="135"/>
      <c r="BU305" s="135"/>
      <c r="BV305" s="135"/>
      <c r="BW305" s="135"/>
      <c r="BX305" s="135"/>
      <c r="BY305" s="135"/>
      <c r="BZ305" s="135"/>
      <c r="CA305" s="135"/>
      <c r="CB305" s="135"/>
      <c r="CC305" s="135"/>
      <c r="CD305" s="135"/>
      <c r="CE305" s="135"/>
      <c r="CF305" s="135"/>
      <c r="CG305" s="135"/>
      <c r="CH305" s="135"/>
      <c r="CI305" s="135"/>
      <c r="CJ305" s="135"/>
      <c r="CK305" s="135"/>
      <c r="CL305" s="135"/>
      <c r="CM305" s="135"/>
      <c r="CN305" s="135"/>
      <c r="CO305" s="135"/>
      <c r="CP305" s="135"/>
      <c r="CQ305" s="135"/>
      <c r="CR305" s="135"/>
      <c r="CS305" s="135"/>
      <c r="CT305" s="135"/>
      <c r="CU305" s="135"/>
      <c r="CV305" s="135"/>
      <c r="CW305" s="135"/>
      <c r="CX305" s="136"/>
    </row>
    <row r="306" spans="2:102">
      <c r="B306" s="133"/>
      <c r="C306" s="135"/>
      <c r="D306" s="135"/>
      <c r="E306" s="135"/>
      <c r="F306" s="135"/>
      <c r="H306" s="135"/>
      <c r="I306" s="135"/>
      <c r="J306" s="135"/>
      <c r="K306" s="135"/>
      <c r="L306" s="135"/>
      <c r="M306" s="135"/>
      <c r="N306" s="135" t="s">
        <v>156</v>
      </c>
      <c r="O306" s="135"/>
      <c r="P306" s="135"/>
      <c r="Q306" s="135"/>
      <c r="R306" s="135"/>
      <c r="AG306" s="135"/>
      <c r="AH306" s="135"/>
      <c r="AI306" s="135"/>
      <c r="AJ306" s="135"/>
      <c r="AK306" s="135"/>
      <c r="AL306" s="135"/>
      <c r="AM306" s="135"/>
      <c r="AN306" s="135"/>
      <c r="AO306" s="135"/>
      <c r="AP306" s="135"/>
      <c r="AQ306" s="135"/>
      <c r="AR306" s="135"/>
      <c r="AS306" s="135"/>
      <c r="AT306" s="135"/>
      <c r="AU306" s="135"/>
      <c r="AV306" s="135"/>
      <c r="AW306" s="135"/>
      <c r="AX306" s="135"/>
      <c r="AY306" s="135"/>
      <c r="AZ306" s="135"/>
      <c r="BA306" s="135"/>
      <c r="BB306" s="135"/>
      <c r="BC306" s="135"/>
      <c r="BD306" s="135"/>
      <c r="BE306" s="135"/>
      <c r="BF306" s="135"/>
      <c r="BG306" s="135"/>
      <c r="BH306" s="135"/>
      <c r="BI306" s="135"/>
      <c r="BJ306" s="135"/>
      <c r="BK306" s="135"/>
      <c r="BL306" s="135"/>
      <c r="BM306" s="135"/>
      <c r="BN306" s="135"/>
      <c r="BO306" s="135"/>
      <c r="BP306" s="135"/>
      <c r="BQ306" s="135"/>
      <c r="BR306" s="135"/>
      <c r="BS306" s="135"/>
      <c r="BT306" s="135"/>
      <c r="BU306" s="135"/>
      <c r="BV306" s="135"/>
      <c r="BW306" s="135"/>
      <c r="BX306" s="135"/>
      <c r="BY306" s="135"/>
      <c r="BZ306" s="135"/>
      <c r="CA306" s="135"/>
      <c r="CB306" s="135"/>
      <c r="CC306" s="135"/>
      <c r="CD306" s="135"/>
      <c r="CE306" s="135"/>
      <c r="CF306" s="135"/>
      <c r="CG306" s="135"/>
      <c r="CH306" s="135"/>
      <c r="CI306" s="135"/>
      <c r="CJ306" s="135"/>
      <c r="CK306" s="135"/>
      <c r="CL306" s="135"/>
      <c r="CM306" s="135"/>
      <c r="CN306" s="135"/>
      <c r="CO306" s="135"/>
      <c r="CP306" s="135"/>
      <c r="CQ306" s="135"/>
      <c r="CR306" s="135"/>
      <c r="CS306" s="135"/>
      <c r="CT306" s="135"/>
      <c r="CU306" s="135"/>
      <c r="CV306" s="135"/>
      <c r="CW306" s="135"/>
      <c r="CX306" s="136"/>
    </row>
    <row r="307" spans="2:102">
      <c r="B307" s="133"/>
      <c r="C307" s="135"/>
      <c r="D307" s="135"/>
      <c r="E307" s="135"/>
      <c r="F307" s="135"/>
      <c r="T307" s="135"/>
      <c r="V307" s="135"/>
      <c r="W307" s="135"/>
      <c r="X307" s="135"/>
      <c r="Y307" s="135"/>
      <c r="AB307" s="135"/>
      <c r="AC307" s="135"/>
      <c r="AD307" s="135"/>
      <c r="AG307" s="135"/>
      <c r="AH307" s="135"/>
      <c r="AI307" s="135"/>
      <c r="AJ307" s="135"/>
      <c r="AK307" s="135"/>
      <c r="AL307" s="135"/>
      <c r="AM307" s="135"/>
      <c r="AN307" s="135"/>
      <c r="AO307" s="135"/>
      <c r="AP307" s="135"/>
      <c r="AQ307" s="135"/>
      <c r="AR307" s="135"/>
      <c r="AS307" s="135"/>
      <c r="AT307" s="135"/>
      <c r="AU307" s="135"/>
      <c r="AV307" s="135"/>
      <c r="AW307" s="135"/>
      <c r="AX307" s="135"/>
      <c r="AY307" s="135"/>
      <c r="AZ307" s="135"/>
      <c r="BA307" s="135"/>
      <c r="BB307" s="135"/>
      <c r="BC307" s="135"/>
      <c r="BD307" s="135"/>
      <c r="BE307" s="135"/>
      <c r="BF307" s="135"/>
      <c r="BG307" s="135"/>
      <c r="BH307" s="135"/>
      <c r="BI307" s="135"/>
      <c r="BJ307" s="135"/>
      <c r="BK307" s="135"/>
      <c r="BL307" s="135"/>
      <c r="BM307" s="135"/>
      <c r="BN307" s="135"/>
      <c r="BO307" s="135"/>
      <c r="BP307" s="135"/>
      <c r="BQ307" s="135"/>
      <c r="BR307" s="135"/>
      <c r="BS307" s="135"/>
      <c r="BT307" s="135"/>
      <c r="BU307" s="135"/>
      <c r="BV307" s="135"/>
      <c r="BW307" s="135"/>
      <c r="BX307" s="135"/>
      <c r="BY307" s="135"/>
      <c r="BZ307" s="135"/>
      <c r="CA307" s="135"/>
      <c r="CB307" s="135"/>
      <c r="CC307" s="135"/>
      <c r="CD307" s="135"/>
      <c r="CE307" s="135"/>
      <c r="CF307" s="135"/>
      <c r="CG307" s="135"/>
      <c r="CH307" s="135"/>
      <c r="CI307" s="135"/>
      <c r="CJ307" s="135"/>
      <c r="CK307" s="135"/>
      <c r="CL307" s="135"/>
      <c r="CM307" s="135"/>
      <c r="CN307" s="135"/>
      <c r="CO307" s="135"/>
      <c r="CP307" s="135"/>
      <c r="CQ307" s="135"/>
      <c r="CR307" s="135"/>
      <c r="CS307" s="135"/>
      <c r="CT307" s="135"/>
      <c r="CU307" s="135"/>
      <c r="CV307" s="135"/>
      <c r="CW307" s="135"/>
      <c r="CX307" s="136"/>
    </row>
    <row r="308" spans="2:102">
      <c r="B308" s="133"/>
      <c r="C308" s="135"/>
      <c r="D308" s="135"/>
      <c r="E308" s="137"/>
      <c r="F308" s="138"/>
      <c r="H308" s="135" t="s">
        <v>109</v>
      </c>
      <c r="I308" s="135"/>
      <c r="J308" s="135"/>
      <c r="K308" s="135"/>
      <c r="L308" s="135"/>
      <c r="M308" s="135"/>
      <c r="N308" s="135" t="s">
        <v>157</v>
      </c>
      <c r="O308" s="135"/>
      <c r="P308" s="135"/>
      <c r="Q308" s="135"/>
      <c r="R308" s="135"/>
      <c r="S308" s="135"/>
      <c r="T308" s="135"/>
      <c r="U308" s="135"/>
      <c r="V308" s="135"/>
      <c r="W308" s="135"/>
      <c r="X308" s="135"/>
      <c r="Y308" s="135"/>
      <c r="AB308" s="135"/>
      <c r="AC308" s="135"/>
      <c r="AD308" s="135"/>
      <c r="AG308" s="135"/>
      <c r="AH308" s="135"/>
      <c r="AI308" s="135"/>
      <c r="AJ308" s="135"/>
      <c r="AK308" s="135"/>
      <c r="AL308" s="135"/>
      <c r="AM308" s="135"/>
      <c r="AN308" s="135"/>
      <c r="AO308" s="135"/>
      <c r="AP308" s="135"/>
      <c r="AQ308" s="135"/>
      <c r="AR308" s="135"/>
      <c r="AS308" s="135"/>
      <c r="AT308" s="135"/>
      <c r="AU308" s="135"/>
      <c r="AV308" s="135"/>
      <c r="AW308" s="135"/>
      <c r="AX308" s="135"/>
      <c r="AY308" s="135"/>
      <c r="AZ308" s="135"/>
      <c r="BA308" s="135"/>
      <c r="BB308" s="135"/>
      <c r="BC308" s="135"/>
      <c r="BD308" s="135"/>
      <c r="BE308" s="135"/>
      <c r="BF308" s="135"/>
      <c r="BG308" s="135"/>
      <c r="BH308" s="135"/>
      <c r="BI308" s="135"/>
      <c r="BJ308" s="135"/>
      <c r="BK308" s="135"/>
      <c r="BL308" s="135"/>
      <c r="BM308" s="135"/>
      <c r="BN308" s="135"/>
      <c r="BO308" s="135"/>
      <c r="BP308" s="135"/>
      <c r="BQ308" s="135"/>
      <c r="BR308" s="135"/>
      <c r="BS308" s="135"/>
      <c r="BT308" s="135"/>
      <c r="BU308" s="135"/>
      <c r="BV308" s="135"/>
      <c r="BW308" s="135"/>
      <c r="BX308" s="135"/>
      <c r="BY308" s="135"/>
      <c r="BZ308" s="135"/>
      <c r="CA308" s="135"/>
      <c r="CB308" s="135"/>
      <c r="CC308" s="135"/>
      <c r="CD308" s="135"/>
      <c r="CE308" s="135"/>
      <c r="CF308" s="135"/>
      <c r="CG308" s="135"/>
      <c r="CH308" s="135"/>
      <c r="CI308" s="135"/>
      <c r="CJ308" s="135"/>
      <c r="CK308" s="135"/>
      <c r="CL308" s="135"/>
      <c r="CM308" s="135"/>
      <c r="CN308" s="135"/>
      <c r="CO308" s="135"/>
      <c r="CP308" s="135"/>
      <c r="CQ308" s="135"/>
      <c r="CR308" s="135"/>
      <c r="CS308" s="135"/>
      <c r="CT308" s="135"/>
      <c r="CU308" s="135"/>
      <c r="CV308" s="135"/>
      <c r="CW308" s="135"/>
      <c r="CX308" s="136"/>
    </row>
    <row r="309" spans="2:102">
      <c r="B309" s="133"/>
      <c r="C309" s="135"/>
      <c r="D309" s="135"/>
      <c r="E309" s="135"/>
      <c r="F309" s="135"/>
      <c r="H309" s="135"/>
      <c r="I309" s="135"/>
      <c r="J309" s="135"/>
      <c r="K309" s="135"/>
      <c r="L309" s="135"/>
      <c r="M309" s="135"/>
      <c r="N309" s="135" t="s">
        <v>158</v>
      </c>
      <c r="O309" s="135"/>
      <c r="P309" s="135"/>
      <c r="Q309" s="135"/>
      <c r="R309" s="135"/>
      <c r="S309" s="135"/>
      <c r="T309" s="135"/>
      <c r="U309" s="135"/>
      <c r="V309" s="135"/>
      <c r="W309" s="135"/>
      <c r="X309" s="135"/>
      <c r="Y309" s="135"/>
      <c r="AB309" s="135"/>
      <c r="AC309" s="135"/>
      <c r="AE309" s="135"/>
      <c r="AF309" s="135"/>
      <c r="AG309" s="135"/>
      <c r="AH309" s="135"/>
      <c r="AI309" s="135"/>
      <c r="AJ309" s="135"/>
      <c r="AK309" s="135"/>
      <c r="AL309" s="135"/>
      <c r="AM309" s="135"/>
      <c r="AN309" s="135"/>
      <c r="AO309" s="135"/>
      <c r="AP309" s="135"/>
      <c r="AQ309" s="135"/>
      <c r="AR309" s="135"/>
      <c r="AS309" s="135"/>
      <c r="AT309" s="135"/>
      <c r="AU309" s="135"/>
      <c r="AV309" s="135"/>
      <c r="AW309" s="135"/>
      <c r="AX309" s="135"/>
      <c r="AY309" s="135"/>
      <c r="AZ309" s="135"/>
      <c r="BA309" s="135"/>
      <c r="BB309" s="135"/>
      <c r="BC309" s="135"/>
      <c r="BD309" s="135"/>
      <c r="BE309" s="135"/>
      <c r="BF309" s="135"/>
      <c r="BG309" s="135"/>
      <c r="BH309" s="135"/>
      <c r="BI309" s="135"/>
      <c r="BJ309" s="135"/>
      <c r="BK309" s="135"/>
      <c r="BL309" s="135"/>
      <c r="BM309" s="135"/>
      <c r="BN309" s="135"/>
      <c r="BO309" s="135"/>
      <c r="BP309" s="135"/>
      <c r="BQ309" s="135"/>
      <c r="BR309" s="135"/>
      <c r="BS309" s="135"/>
      <c r="BT309" s="135"/>
      <c r="BU309" s="135"/>
      <c r="BV309" s="135"/>
      <c r="BW309" s="135"/>
      <c r="BX309" s="135"/>
      <c r="BY309" s="135"/>
      <c r="BZ309" s="135"/>
      <c r="CA309" s="135"/>
      <c r="CB309" s="135"/>
      <c r="CC309" s="135"/>
      <c r="CD309" s="135"/>
      <c r="CE309" s="135"/>
      <c r="CF309" s="135"/>
      <c r="CG309" s="135"/>
      <c r="CH309" s="135"/>
      <c r="CI309" s="135"/>
      <c r="CJ309" s="135"/>
      <c r="CK309" s="135"/>
      <c r="CL309" s="135"/>
      <c r="CM309" s="135"/>
      <c r="CN309" s="135"/>
      <c r="CO309" s="135"/>
      <c r="CP309" s="135"/>
      <c r="CQ309" s="135"/>
      <c r="CR309" s="135"/>
      <c r="CS309" s="135"/>
      <c r="CT309" s="135"/>
      <c r="CU309" s="135"/>
      <c r="CV309" s="135"/>
      <c r="CW309" s="135"/>
      <c r="CX309" s="136"/>
    </row>
    <row r="310" spans="2:102">
      <c r="B310" s="133"/>
      <c r="C310" s="135"/>
      <c r="D310" s="135"/>
      <c r="E310" s="135"/>
      <c r="F310" s="135"/>
      <c r="S310" s="135"/>
      <c r="T310" s="135"/>
      <c r="W310" s="135"/>
      <c r="X310" s="135"/>
      <c r="Y310" s="135"/>
      <c r="AE310" s="135"/>
      <c r="AF310" s="135"/>
      <c r="AG310" s="135"/>
      <c r="AH310" s="135"/>
      <c r="AI310" s="135"/>
      <c r="AJ310" s="135"/>
      <c r="AK310" s="135"/>
      <c r="AL310" s="135"/>
      <c r="AM310" s="135"/>
      <c r="AN310" s="135"/>
      <c r="AO310" s="135"/>
      <c r="AP310" s="135"/>
      <c r="AQ310" s="135"/>
      <c r="AR310" s="135"/>
      <c r="AS310" s="135"/>
      <c r="AT310" s="135"/>
      <c r="AU310" s="135"/>
      <c r="AV310" s="135"/>
      <c r="AW310" s="135"/>
      <c r="AX310" s="135"/>
      <c r="AY310" s="135"/>
      <c r="AZ310" s="135"/>
      <c r="BA310" s="135"/>
      <c r="BB310" s="135"/>
      <c r="BC310" s="135"/>
      <c r="BD310" s="135"/>
      <c r="BE310" s="135"/>
      <c r="BF310" s="135"/>
      <c r="BG310" s="135"/>
      <c r="BH310" s="135"/>
      <c r="BI310" s="135"/>
      <c r="BJ310" s="135"/>
      <c r="BK310" s="135"/>
      <c r="BL310" s="135"/>
      <c r="BM310" s="135"/>
      <c r="BN310" s="135"/>
      <c r="BO310" s="135"/>
      <c r="BP310" s="135"/>
      <c r="BQ310" s="135"/>
      <c r="BR310" s="135"/>
      <c r="BS310" s="135"/>
      <c r="BT310" s="135"/>
      <c r="BU310" s="135"/>
      <c r="BV310" s="135"/>
      <c r="BW310" s="135"/>
      <c r="BX310" s="135"/>
      <c r="BY310" s="135"/>
      <c r="BZ310" s="135"/>
      <c r="CA310" s="135"/>
      <c r="CB310" s="135"/>
      <c r="CC310" s="135"/>
      <c r="CD310" s="135"/>
      <c r="CE310" s="135"/>
      <c r="CF310" s="135"/>
      <c r="CG310" s="135"/>
      <c r="CH310" s="135"/>
      <c r="CI310" s="135"/>
      <c r="CJ310" s="135"/>
      <c r="CK310" s="135"/>
      <c r="CL310" s="135"/>
      <c r="CM310" s="135"/>
      <c r="CN310" s="135"/>
      <c r="CO310" s="135"/>
      <c r="CP310" s="135"/>
      <c r="CQ310" s="135"/>
      <c r="CR310" s="135"/>
      <c r="CS310" s="135"/>
      <c r="CT310" s="135"/>
      <c r="CU310" s="135"/>
      <c r="CV310" s="135"/>
      <c r="CW310" s="135"/>
      <c r="CX310" s="136"/>
    </row>
    <row r="311" spans="2:102">
      <c r="B311" s="133"/>
      <c r="C311" s="135"/>
      <c r="D311" s="135"/>
      <c r="E311" s="135"/>
      <c r="F311" s="135"/>
      <c r="G311" s="135"/>
      <c r="H311" s="135" t="s">
        <v>111</v>
      </c>
      <c r="I311" s="135"/>
      <c r="J311" s="135"/>
      <c r="K311" s="135"/>
      <c r="L311" s="135"/>
      <c r="M311" s="135"/>
      <c r="N311" s="135" t="s">
        <v>159</v>
      </c>
      <c r="O311" s="135"/>
      <c r="P311" s="135"/>
      <c r="Q311" s="135"/>
      <c r="R311" s="135"/>
      <c r="U311" s="135"/>
      <c r="V311" s="135"/>
      <c r="W311" s="135"/>
      <c r="AE311" s="135"/>
      <c r="AF311" s="135"/>
      <c r="AG311" s="135"/>
      <c r="AH311" s="135"/>
      <c r="AI311" s="135"/>
      <c r="AJ311" s="135"/>
      <c r="AK311" s="135"/>
      <c r="AL311" s="135"/>
      <c r="AM311" s="135"/>
      <c r="AN311" s="135"/>
      <c r="AO311" s="135"/>
      <c r="AP311" s="135"/>
      <c r="AQ311" s="135"/>
      <c r="AR311" s="135"/>
      <c r="AS311" s="135"/>
      <c r="AT311" s="135"/>
      <c r="AU311" s="135"/>
      <c r="AV311" s="135"/>
      <c r="AW311" s="135"/>
      <c r="AX311" s="135"/>
      <c r="AY311" s="135"/>
      <c r="AZ311" s="135"/>
      <c r="BA311" s="135"/>
      <c r="BB311" s="135"/>
      <c r="BC311" s="135"/>
      <c r="BD311" s="135"/>
      <c r="BE311" s="135"/>
      <c r="BF311" s="135"/>
      <c r="BG311" s="135"/>
      <c r="BH311" s="135"/>
      <c r="BI311" s="135"/>
      <c r="BJ311" s="135"/>
      <c r="BK311" s="135"/>
      <c r="BL311" s="135"/>
      <c r="BM311" s="135"/>
      <c r="BN311" s="135"/>
      <c r="BO311" s="135"/>
      <c r="BP311" s="135"/>
      <c r="BQ311" s="135"/>
      <c r="BR311" s="135"/>
      <c r="BS311" s="135"/>
      <c r="BT311" s="135"/>
      <c r="BU311" s="135"/>
      <c r="BV311" s="135"/>
      <c r="BW311" s="135"/>
      <c r="BX311" s="135"/>
      <c r="BY311" s="135"/>
      <c r="BZ311" s="135"/>
      <c r="CA311" s="135"/>
      <c r="CB311" s="135"/>
      <c r="CC311" s="135"/>
      <c r="CD311" s="135"/>
      <c r="CE311" s="135"/>
      <c r="CF311" s="135"/>
      <c r="CG311" s="135"/>
      <c r="CH311" s="135"/>
      <c r="CI311" s="135"/>
      <c r="CJ311" s="135"/>
      <c r="CK311" s="135"/>
      <c r="CL311" s="135"/>
      <c r="CM311" s="135"/>
      <c r="CN311" s="135"/>
      <c r="CO311" s="135"/>
      <c r="CP311" s="135"/>
      <c r="CQ311" s="135"/>
      <c r="CR311" s="135"/>
      <c r="CS311" s="135"/>
      <c r="CT311" s="135"/>
      <c r="CU311" s="135"/>
      <c r="CV311" s="135"/>
      <c r="CW311" s="135"/>
      <c r="CX311" s="136"/>
    </row>
    <row r="312" spans="2:102">
      <c r="B312" s="133"/>
      <c r="C312" s="135"/>
      <c r="D312" s="135"/>
      <c r="E312" s="135"/>
      <c r="F312" s="135"/>
      <c r="G312" s="135"/>
      <c r="H312" s="135"/>
      <c r="I312" s="135"/>
      <c r="J312" s="135"/>
      <c r="K312" s="135"/>
      <c r="L312" s="135"/>
      <c r="M312" s="135"/>
      <c r="N312" s="135"/>
      <c r="O312" s="135"/>
      <c r="P312" s="135"/>
      <c r="Q312" s="135"/>
      <c r="R312" s="135"/>
      <c r="U312" s="135"/>
      <c r="V312" s="135"/>
      <c r="W312" s="135"/>
      <c r="AE312" s="135"/>
      <c r="AF312" s="135"/>
      <c r="AG312" s="135"/>
      <c r="AH312" s="135"/>
      <c r="AI312" s="135"/>
      <c r="AJ312" s="135"/>
      <c r="AK312" s="135"/>
      <c r="AL312" s="135"/>
      <c r="AM312" s="135"/>
      <c r="AN312" s="135"/>
      <c r="AO312" s="135"/>
      <c r="AP312" s="135"/>
      <c r="AQ312" s="135"/>
      <c r="AR312" s="135"/>
      <c r="AS312" s="135"/>
      <c r="AT312" s="135"/>
      <c r="AU312" s="135"/>
      <c r="AV312" s="135"/>
      <c r="AW312" s="135"/>
      <c r="AX312" s="135"/>
      <c r="AY312" s="135"/>
      <c r="AZ312" s="135"/>
      <c r="BA312" s="135"/>
      <c r="BB312" s="135"/>
      <c r="BC312" s="135"/>
      <c r="BD312" s="135"/>
      <c r="BE312" s="135"/>
      <c r="BF312" s="135"/>
      <c r="BG312" s="135"/>
      <c r="BH312" s="135"/>
      <c r="BI312" s="135"/>
      <c r="BJ312" s="135"/>
      <c r="BK312" s="135"/>
      <c r="BL312" s="135"/>
      <c r="BM312" s="135"/>
      <c r="BN312" s="135"/>
      <c r="BO312" s="135"/>
      <c r="BP312" s="135"/>
      <c r="BQ312" s="135"/>
      <c r="BR312" s="135"/>
      <c r="BS312" s="135"/>
      <c r="BT312" s="135"/>
      <c r="BU312" s="135"/>
      <c r="BV312" s="135"/>
      <c r="BW312" s="135"/>
      <c r="BX312" s="135"/>
      <c r="BY312" s="135"/>
      <c r="BZ312" s="135"/>
      <c r="CA312" s="135"/>
      <c r="CB312" s="135"/>
      <c r="CC312" s="135"/>
      <c r="CD312" s="135"/>
      <c r="CE312" s="135"/>
      <c r="CF312" s="135"/>
      <c r="CG312" s="135"/>
      <c r="CH312" s="135"/>
      <c r="CI312" s="135"/>
      <c r="CJ312" s="135"/>
      <c r="CK312" s="135"/>
      <c r="CL312" s="135"/>
      <c r="CM312" s="135"/>
      <c r="CN312" s="135"/>
      <c r="CO312" s="135"/>
      <c r="CP312" s="135"/>
      <c r="CQ312" s="135"/>
      <c r="CR312" s="135"/>
      <c r="CS312" s="135"/>
      <c r="CT312" s="135"/>
      <c r="CU312" s="135"/>
      <c r="CV312" s="135"/>
      <c r="CW312" s="135"/>
      <c r="CX312" s="136"/>
    </row>
    <row r="313" spans="2:102">
      <c r="B313" s="133"/>
      <c r="C313" s="135"/>
      <c r="D313" s="135"/>
      <c r="E313" s="135"/>
      <c r="F313" s="135"/>
      <c r="G313" s="135"/>
      <c r="H313" s="135" t="s">
        <v>147</v>
      </c>
      <c r="I313" s="135"/>
      <c r="J313" s="135"/>
      <c r="K313" s="135"/>
      <c r="L313" s="135"/>
      <c r="M313" s="135"/>
      <c r="N313" s="135" t="s">
        <v>160</v>
      </c>
      <c r="O313" s="135"/>
      <c r="P313" s="135"/>
      <c r="AD313" s="135"/>
      <c r="AE313" s="135"/>
      <c r="AF313" s="135"/>
      <c r="AG313" s="135"/>
      <c r="AH313" s="135"/>
      <c r="AI313" s="135"/>
      <c r="AJ313" s="135"/>
      <c r="AK313" s="135"/>
      <c r="AL313" s="135"/>
      <c r="AM313" s="135"/>
      <c r="AN313" s="135"/>
      <c r="AO313" s="135"/>
      <c r="AP313" s="135"/>
      <c r="AQ313" s="135"/>
      <c r="AR313" s="135"/>
      <c r="AS313" s="135"/>
      <c r="AT313" s="135"/>
      <c r="AU313" s="135"/>
      <c r="AV313" s="135"/>
      <c r="AW313" s="135"/>
      <c r="AX313" s="135"/>
      <c r="AY313" s="135"/>
      <c r="AZ313" s="135"/>
      <c r="BA313" s="135"/>
      <c r="BB313" s="135"/>
      <c r="BC313" s="135"/>
      <c r="BD313" s="135"/>
      <c r="BE313" s="135"/>
      <c r="BF313" s="135"/>
      <c r="BG313" s="135"/>
      <c r="BH313" s="135"/>
      <c r="BI313" s="135"/>
      <c r="BJ313" s="135"/>
      <c r="BK313" s="135"/>
      <c r="BL313" s="135"/>
      <c r="BM313" s="135"/>
      <c r="BN313" s="135"/>
      <c r="BO313" s="135"/>
      <c r="BP313" s="135"/>
      <c r="BQ313" s="135"/>
      <c r="BR313" s="135"/>
      <c r="BS313" s="135"/>
      <c r="BT313" s="135"/>
      <c r="BU313" s="135"/>
      <c r="BV313" s="135"/>
      <c r="BW313" s="135"/>
      <c r="BX313" s="135"/>
      <c r="BY313" s="135"/>
      <c r="BZ313" s="135"/>
      <c r="CA313" s="135"/>
      <c r="CB313" s="135"/>
      <c r="CC313" s="135"/>
      <c r="CD313" s="135"/>
      <c r="CE313" s="135"/>
      <c r="CF313" s="135"/>
      <c r="CG313" s="135"/>
      <c r="CH313" s="135"/>
      <c r="CI313" s="135"/>
      <c r="CJ313" s="135"/>
      <c r="CK313" s="135"/>
      <c r="CL313" s="135"/>
      <c r="CM313" s="135"/>
      <c r="CN313" s="135"/>
      <c r="CO313" s="135"/>
      <c r="CP313" s="135"/>
      <c r="CQ313" s="135"/>
      <c r="CR313" s="135"/>
      <c r="CS313" s="135"/>
      <c r="CT313" s="135"/>
      <c r="CU313" s="135"/>
      <c r="CV313" s="135"/>
      <c r="CW313" s="135"/>
      <c r="CX313" s="136"/>
    </row>
    <row r="314" spans="2:102">
      <c r="B314" s="133"/>
      <c r="C314" s="135"/>
      <c r="D314" s="135"/>
      <c r="E314" s="135"/>
      <c r="F314" s="135"/>
      <c r="G314" s="135"/>
      <c r="H314" s="135"/>
      <c r="I314" s="135"/>
      <c r="J314" s="135"/>
      <c r="K314" s="135"/>
      <c r="L314" s="135"/>
      <c r="M314" s="135"/>
      <c r="N314" s="135"/>
      <c r="O314" s="135"/>
      <c r="P314" s="135"/>
      <c r="AD314" s="135"/>
      <c r="AE314" s="135"/>
      <c r="AF314" s="135"/>
      <c r="AG314" s="135"/>
      <c r="AH314" s="135"/>
      <c r="AI314" s="135"/>
      <c r="AJ314" s="135"/>
      <c r="AK314" s="135"/>
      <c r="AL314" s="135"/>
      <c r="AM314" s="135"/>
      <c r="AN314" s="135"/>
      <c r="AO314" s="135"/>
      <c r="AP314" s="135"/>
      <c r="AQ314" s="135"/>
      <c r="AR314" s="135"/>
      <c r="AS314" s="135"/>
      <c r="AT314" s="135"/>
      <c r="AU314" s="135"/>
      <c r="AV314" s="135"/>
      <c r="AW314" s="135"/>
      <c r="AX314" s="135"/>
      <c r="AY314" s="135"/>
      <c r="AZ314" s="135"/>
      <c r="BA314" s="135"/>
      <c r="BB314" s="135"/>
      <c r="BC314" s="135"/>
      <c r="BD314" s="135"/>
      <c r="BE314" s="135"/>
      <c r="BF314" s="135"/>
      <c r="BG314" s="135"/>
      <c r="BH314" s="135"/>
      <c r="BI314" s="135"/>
      <c r="BJ314" s="135"/>
      <c r="BK314" s="135"/>
      <c r="BL314" s="135"/>
      <c r="BM314" s="135"/>
      <c r="BN314" s="135"/>
      <c r="BO314" s="135"/>
      <c r="BP314" s="135"/>
      <c r="BQ314" s="135"/>
      <c r="BR314" s="135"/>
      <c r="BS314" s="135"/>
      <c r="BT314" s="135"/>
      <c r="BU314" s="135"/>
      <c r="BV314" s="135"/>
      <c r="BW314" s="135"/>
      <c r="BX314" s="135"/>
      <c r="BY314" s="135"/>
      <c r="BZ314" s="135"/>
      <c r="CA314" s="135"/>
      <c r="CB314" s="135"/>
      <c r="CC314" s="135"/>
      <c r="CD314" s="135"/>
      <c r="CE314" s="135"/>
      <c r="CF314" s="135"/>
      <c r="CG314" s="135"/>
      <c r="CH314" s="135"/>
      <c r="CI314" s="135"/>
      <c r="CJ314" s="135"/>
      <c r="CK314" s="135"/>
      <c r="CL314" s="135"/>
      <c r="CM314" s="135"/>
      <c r="CN314" s="135"/>
      <c r="CO314" s="135"/>
      <c r="CP314" s="135"/>
      <c r="CQ314" s="135"/>
      <c r="CR314" s="135"/>
      <c r="CS314" s="135"/>
      <c r="CT314" s="135"/>
      <c r="CU314" s="135"/>
      <c r="CV314" s="135"/>
      <c r="CW314" s="135"/>
      <c r="CX314" s="136"/>
    </row>
    <row r="315" spans="2:102">
      <c r="B315" s="133"/>
      <c r="C315" s="135"/>
      <c r="D315" s="135"/>
      <c r="E315" s="135"/>
      <c r="F315" s="135"/>
      <c r="G315" s="135"/>
      <c r="H315" s="135" t="s">
        <v>149</v>
      </c>
      <c r="I315" s="135"/>
      <c r="J315" s="135"/>
      <c r="K315" s="135"/>
      <c r="L315" s="135"/>
      <c r="M315" s="135"/>
      <c r="N315" s="135" t="s">
        <v>161</v>
      </c>
      <c r="O315" s="135"/>
      <c r="P315" s="135"/>
      <c r="Q315" s="135"/>
      <c r="R315" s="135"/>
      <c r="S315" s="135"/>
      <c r="T315" s="135"/>
      <c r="AD315" s="135"/>
      <c r="AE315" s="135"/>
      <c r="AF315" s="135"/>
      <c r="AG315" s="135"/>
      <c r="AH315" s="135"/>
      <c r="AI315" s="135"/>
      <c r="AJ315" s="135"/>
      <c r="AK315" s="135"/>
      <c r="AL315" s="135"/>
      <c r="AM315" s="135"/>
      <c r="AN315" s="135"/>
      <c r="AO315" s="135"/>
      <c r="AP315" s="135"/>
      <c r="AQ315" s="135"/>
      <c r="AR315" s="135"/>
      <c r="AS315" s="135"/>
      <c r="AT315" s="135"/>
      <c r="AU315" s="135"/>
      <c r="AV315" s="135"/>
      <c r="AW315" s="135"/>
      <c r="AX315" s="135"/>
      <c r="AY315" s="135"/>
      <c r="AZ315" s="135"/>
      <c r="BA315" s="135"/>
      <c r="BB315" s="135"/>
      <c r="BC315" s="135"/>
      <c r="BD315" s="135"/>
      <c r="BE315" s="135"/>
      <c r="BF315" s="135"/>
      <c r="BG315" s="135"/>
      <c r="BH315" s="135"/>
      <c r="BI315" s="135"/>
      <c r="BJ315" s="135"/>
      <c r="BK315" s="135"/>
      <c r="BL315" s="135"/>
      <c r="BM315" s="135"/>
      <c r="BN315" s="135"/>
      <c r="BO315" s="135"/>
      <c r="BP315" s="135"/>
      <c r="BQ315" s="135"/>
      <c r="BR315" s="135"/>
      <c r="BS315" s="135"/>
      <c r="BT315" s="135"/>
      <c r="BU315" s="135"/>
      <c r="BV315" s="135"/>
      <c r="BW315" s="135"/>
      <c r="BX315" s="135"/>
      <c r="BY315" s="135"/>
      <c r="BZ315" s="135"/>
      <c r="CA315" s="135"/>
      <c r="CB315" s="135"/>
      <c r="CC315" s="135"/>
      <c r="CD315" s="135"/>
      <c r="CE315" s="135"/>
      <c r="CF315" s="135"/>
      <c r="CG315" s="135"/>
      <c r="CH315" s="135"/>
      <c r="CI315" s="135"/>
      <c r="CJ315" s="135"/>
      <c r="CK315" s="135"/>
      <c r="CL315" s="135"/>
      <c r="CM315" s="135"/>
      <c r="CN315" s="135"/>
      <c r="CO315" s="135"/>
      <c r="CP315" s="135"/>
      <c r="CQ315" s="135"/>
      <c r="CR315" s="135"/>
      <c r="CS315" s="135"/>
      <c r="CT315" s="135"/>
      <c r="CU315" s="135"/>
      <c r="CV315" s="135"/>
      <c r="CW315" s="135"/>
      <c r="CX315" s="136"/>
    </row>
    <row r="316" spans="2:102">
      <c r="B316" s="133"/>
      <c r="C316" s="135"/>
      <c r="D316" s="135"/>
      <c r="E316" s="135"/>
      <c r="F316" s="135"/>
      <c r="G316" s="135"/>
      <c r="H316" s="135"/>
      <c r="I316" s="135"/>
      <c r="J316" s="135"/>
      <c r="K316" s="135"/>
      <c r="L316" s="135"/>
      <c r="M316" s="135"/>
      <c r="N316" s="135"/>
      <c r="O316" s="135"/>
      <c r="P316" s="135"/>
      <c r="Q316" s="135"/>
      <c r="R316" s="135"/>
      <c r="S316" s="135"/>
      <c r="T316" s="135"/>
      <c r="AD316" s="135"/>
      <c r="AE316" s="135"/>
      <c r="AF316" s="135"/>
      <c r="AG316" s="135"/>
      <c r="AH316" s="135"/>
      <c r="AI316" s="135"/>
      <c r="AJ316" s="135"/>
      <c r="AK316" s="135"/>
      <c r="AL316" s="135"/>
      <c r="AM316" s="135"/>
      <c r="AN316" s="135"/>
      <c r="AO316" s="135"/>
      <c r="AP316" s="135"/>
      <c r="AQ316" s="135"/>
      <c r="AR316" s="135"/>
      <c r="AS316" s="135"/>
      <c r="AT316" s="135"/>
      <c r="AU316" s="135"/>
      <c r="AV316" s="135"/>
      <c r="AW316" s="135"/>
      <c r="AX316" s="135"/>
      <c r="AY316" s="135"/>
      <c r="AZ316" s="135"/>
      <c r="BA316" s="135"/>
      <c r="BB316" s="135"/>
      <c r="BC316" s="135"/>
      <c r="BD316" s="135"/>
      <c r="BE316" s="135"/>
      <c r="BF316" s="135"/>
      <c r="BG316" s="135"/>
      <c r="BH316" s="135"/>
      <c r="BI316" s="135"/>
      <c r="BJ316" s="135"/>
      <c r="BK316" s="135"/>
      <c r="BL316" s="135"/>
      <c r="BM316" s="135"/>
      <c r="BN316" s="135"/>
      <c r="BO316" s="135"/>
      <c r="BP316" s="135"/>
      <c r="BQ316" s="135"/>
      <c r="BR316" s="135"/>
      <c r="BS316" s="135"/>
      <c r="BT316" s="135"/>
      <c r="BU316" s="135"/>
      <c r="BV316" s="135"/>
      <c r="BW316" s="135"/>
      <c r="BX316" s="135"/>
      <c r="BY316" s="135"/>
      <c r="BZ316" s="135"/>
      <c r="CA316" s="135"/>
      <c r="CB316" s="135"/>
      <c r="CC316" s="135"/>
      <c r="CD316" s="135"/>
      <c r="CE316" s="135"/>
      <c r="CF316" s="135"/>
      <c r="CG316" s="135"/>
      <c r="CH316" s="135"/>
      <c r="CI316" s="135"/>
      <c r="CJ316" s="135"/>
      <c r="CK316" s="135"/>
      <c r="CL316" s="135"/>
      <c r="CM316" s="135"/>
      <c r="CN316" s="135"/>
      <c r="CO316" s="135"/>
      <c r="CP316" s="135"/>
      <c r="CQ316" s="135"/>
      <c r="CR316" s="135"/>
      <c r="CS316" s="135"/>
      <c r="CT316" s="135"/>
      <c r="CU316" s="135"/>
      <c r="CV316" s="135"/>
      <c r="CW316" s="135"/>
      <c r="CX316" s="136"/>
    </row>
    <row r="317" spans="2:102">
      <c r="B317" s="133"/>
      <c r="C317" s="135"/>
      <c r="D317" s="135"/>
      <c r="E317" s="135"/>
      <c r="F317" s="135"/>
      <c r="G317" s="135"/>
      <c r="H317" s="135" t="s">
        <v>162</v>
      </c>
      <c r="I317" s="135"/>
      <c r="J317" s="135"/>
      <c r="K317" s="135"/>
      <c r="L317" s="135"/>
      <c r="M317" s="135"/>
      <c r="N317" s="135" t="s">
        <v>163</v>
      </c>
      <c r="O317" s="135"/>
      <c r="P317" s="135"/>
      <c r="Q317" s="135"/>
      <c r="R317" s="135"/>
      <c r="AD317" s="135"/>
      <c r="AE317" s="135"/>
      <c r="AF317" s="135"/>
      <c r="AG317" s="135"/>
      <c r="AH317" s="135"/>
      <c r="AI317" s="135"/>
      <c r="AJ317" s="135"/>
      <c r="AK317" s="135"/>
      <c r="AL317" s="135"/>
      <c r="AM317" s="135"/>
      <c r="AN317" s="135"/>
      <c r="AO317" s="135"/>
      <c r="AP317" s="135"/>
      <c r="AQ317" s="135"/>
      <c r="AR317" s="135"/>
      <c r="AS317" s="135"/>
      <c r="AT317" s="135"/>
      <c r="AU317" s="135"/>
      <c r="AV317" s="135"/>
      <c r="AW317" s="135"/>
      <c r="AX317" s="135"/>
      <c r="AY317" s="135"/>
      <c r="AZ317" s="135"/>
      <c r="BA317" s="135"/>
      <c r="BB317" s="135"/>
      <c r="BC317" s="135"/>
      <c r="BD317" s="135"/>
      <c r="BE317" s="135"/>
      <c r="BF317" s="135"/>
      <c r="BG317" s="135"/>
      <c r="BH317" s="135"/>
      <c r="BI317" s="135"/>
      <c r="BJ317" s="135"/>
      <c r="BK317" s="135"/>
      <c r="BL317" s="135"/>
      <c r="BM317" s="135"/>
      <c r="BN317" s="135"/>
      <c r="BO317" s="135"/>
      <c r="BP317" s="135"/>
      <c r="BQ317" s="135"/>
      <c r="BR317" s="135"/>
      <c r="BS317" s="135"/>
      <c r="BT317" s="135"/>
      <c r="BU317" s="135"/>
      <c r="BV317" s="135"/>
      <c r="BW317" s="135"/>
      <c r="BX317" s="135"/>
      <c r="BY317" s="135"/>
      <c r="BZ317" s="135"/>
      <c r="CA317" s="135"/>
      <c r="CB317" s="135"/>
      <c r="CC317" s="135"/>
      <c r="CD317" s="135"/>
      <c r="CE317" s="135"/>
      <c r="CF317" s="135"/>
      <c r="CG317" s="135"/>
      <c r="CH317" s="135"/>
      <c r="CI317" s="135"/>
      <c r="CJ317" s="135"/>
      <c r="CK317" s="135"/>
      <c r="CL317" s="135"/>
      <c r="CM317" s="135"/>
      <c r="CN317" s="135"/>
      <c r="CO317" s="135"/>
      <c r="CP317" s="135"/>
      <c r="CQ317" s="135"/>
      <c r="CR317" s="135"/>
      <c r="CS317" s="135"/>
      <c r="CT317" s="135"/>
      <c r="CU317" s="135"/>
      <c r="CV317" s="135"/>
      <c r="CW317" s="135"/>
      <c r="CX317" s="136"/>
    </row>
    <row r="318" spans="2:102">
      <c r="B318" s="133"/>
      <c r="C318" s="135"/>
      <c r="D318" s="135"/>
      <c r="E318" s="135"/>
      <c r="F318" s="135"/>
      <c r="G318" s="135"/>
      <c r="H318" s="135"/>
      <c r="I318" s="135"/>
      <c r="J318" s="135"/>
      <c r="K318" s="135"/>
      <c r="L318" s="135"/>
      <c r="M318" s="135"/>
      <c r="N318" s="135"/>
      <c r="O318" s="135"/>
      <c r="P318" s="135"/>
      <c r="Q318" s="135"/>
      <c r="R318" s="135"/>
      <c r="AD318" s="135"/>
      <c r="AE318" s="135"/>
      <c r="AF318" s="135"/>
      <c r="AG318" s="135"/>
      <c r="AH318" s="135"/>
      <c r="AI318" s="135"/>
      <c r="AJ318" s="135"/>
      <c r="AK318" s="135"/>
      <c r="AL318" s="135"/>
      <c r="AM318" s="135"/>
      <c r="AN318" s="135"/>
      <c r="AO318" s="135"/>
      <c r="AP318" s="135"/>
      <c r="AQ318" s="135"/>
      <c r="AR318" s="135"/>
      <c r="AS318" s="135"/>
      <c r="AT318" s="135"/>
      <c r="AU318" s="135"/>
      <c r="AV318" s="135"/>
      <c r="AW318" s="135"/>
      <c r="AX318" s="135"/>
      <c r="AY318" s="135"/>
      <c r="AZ318" s="135"/>
      <c r="BA318" s="135"/>
      <c r="BB318" s="135"/>
      <c r="BC318" s="135"/>
      <c r="BD318" s="135"/>
      <c r="BE318" s="135"/>
      <c r="BF318" s="135"/>
      <c r="BG318" s="135"/>
      <c r="BH318" s="135"/>
      <c r="BI318" s="135"/>
      <c r="BJ318" s="135"/>
      <c r="BK318" s="135"/>
      <c r="BL318" s="135"/>
      <c r="BM318" s="135"/>
      <c r="BN318" s="135"/>
      <c r="BO318" s="135"/>
      <c r="BP318" s="135"/>
      <c r="BQ318" s="135"/>
      <c r="BR318" s="135"/>
      <c r="BS318" s="135"/>
      <c r="BT318" s="135"/>
      <c r="BU318" s="135"/>
      <c r="BV318" s="135"/>
      <c r="BW318" s="135"/>
      <c r="BX318" s="135"/>
      <c r="BY318" s="135"/>
      <c r="BZ318" s="135"/>
      <c r="CA318" s="135"/>
      <c r="CB318" s="135"/>
      <c r="CC318" s="135"/>
      <c r="CD318" s="135"/>
      <c r="CE318" s="135"/>
      <c r="CF318" s="135"/>
      <c r="CG318" s="135"/>
      <c r="CH318" s="135"/>
      <c r="CI318" s="135"/>
      <c r="CJ318" s="135"/>
      <c r="CK318" s="135"/>
      <c r="CL318" s="135"/>
      <c r="CM318" s="135"/>
      <c r="CN318" s="135"/>
      <c r="CO318" s="135"/>
      <c r="CP318" s="135"/>
      <c r="CQ318" s="135"/>
      <c r="CR318" s="135"/>
      <c r="CS318" s="135"/>
      <c r="CT318" s="135"/>
      <c r="CU318" s="135"/>
      <c r="CV318" s="135"/>
      <c r="CW318" s="135"/>
      <c r="CX318" s="136"/>
    </row>
    <row r="319" spans="2:102">
      <c r="B319" s="133"/>
      <c r="C319" s="135"/>
      <c r="D319" s="135"/>
      <c r="E319" s="135"/>
      <c r="F319" s="135"/>
      <c r="G319" s="135"/>
      <c r="H319" s="135" t="s">
        <v>164</v>
      </c>
      <c r="I319" s="135"/>
      <c r="J319" s="135"/>
      <c r="K319" s="135"/>
      <c r="L319" s="135"/>
      <c r="M319" s="135"/>
      <c r="N319" s="135" t="s">
        <v>165</v>
      </c>
      <c r="O319" s="135"/>
      <c r="P319" s="135"/>
      <c r="Q319" s="135"/>
      <c r="R319" s="135"/>
      <c r="S319" s="135"/>
      <c r="T319" s="135"/>
      <c r="U319" s="135"/>
      <c r="AD319" s="135"/>
      <c r="AE319" s="135"/>
      <c r="AF319" s="135"/>
      <c r="AG319" s="135"/>
      <c r="AH319" s="135"/>
      <c r="AI319" s="135"/>
      <c r="AJ319" s="135"/>
      <c r="AK319" s="135"/>
      <c r="AL319" s="135"/>
      <c r="AM319" s="135"/>
      <c r="AN319" s="135"/>
      <c r="AO319" s="135"/>
      <c r="AP319" s="135"/>
      <c r="AQ319" s="135"/>
      <c r="AR319" s="135"/>
      <c r="AS319" s="135"/>
      <c r="AT319" s="135"/>
      <c r="AU319" s="135"/>
      <c r="AV319" s="135"/>
      <c r="AW319" s="135"/>
      <c r="AX319" s="135"/>
      <c r="AY319" s="135"/>
      <c r="AZ319" s="135"/>
      <c r="BA319" s="135"/>
      <c r="BB319" s="135"/>
      <c r="BC319" s="135"/>
      <c r="BD319" s="135"/>
      <c r="BE319" s="135"/>
      <c r="BF319" s="135"/>
      <c r="BG319" s="135"/>
      <c r="BH319" s="135"/>
      <c r="BI319" s="135"/>
      <c r="BJ319" s="135"/>
      <c r="BK319" s="135"/>
      <c r="BL319" s="135"/>
      <c r="BM319" s="135"/>
      <c r="BN319" s="135"/>
      <c r="BO319" s="135"/>
      <c r="BP319" s="135"/>
      <c r="BQ319" s="135"/>
      <c r="BR319" s="135"/>
      <c r="BS319" s="135"/>
      <c r="BT319" s="135"/>
      <c r="BU319" s="135"/>
      <c r="BV319" s="135"/>
      <c r="BW319" s="135"/>
      <c r="BX319" s="135"/>
      <c r="BY319" s="135"/>
      <c r="BZ319" s="135"/>
      <c r="CA319" s="135"/>
      <c r="CB319" s="135"/>
      <c r="CC319" s="135"/>
      <c r="CD319" s="135"/>
      <c r="CE319" s="135"/>
      <c r="CF319" s="135"/>
      <c r="CG319" s="135"/>
      <c r="CH319" s="135"/>
      <c r="CI319" s="135"/>
      <c r="CJ319" s="135"/>
      <c r="CK319" s="135"/>
      <c r="CL319" s="135"/>
      <c r="CM319" s="135"/>
      <c r="CN319" s="135"/>
      <c r="CO319" s="135"/>
      <c r="CP319" s="135"/>
      <c r="CQ319" s="135"/>
      <c r="CR319" s="135"/>
      <c r="CS319" s="135"/>
      <c r="CT319" s="135"/>
      <c r="CU319" s="135"/>
      <c r="CV319" s="135"/>
      <c r="CW319" s="135"/>
      <c r="CX319" s="136"/>
    </row>
    <row r="320" spans="2:102">
      <c r="B320" s="133"/>
      <c r="C320" s="135"/>
      <c r="D320" s="135"/>
      <c r="E320" s="135"/>
      <c r="F320" s="135"/>
      <c r="G320" s="135"/>
      <c r="H320" s="135"/>
      <c r="I320" s="135"/>
      <c r="J320" s="135"/>
      <c r="K320" s="135"/>
      <c r="L320" s="135"/>
      <c r="M320" s="135"/>
      <c r="N320" s="135"/>
      <c r="O320" s="135"/>
      <c r="P320" s="135"/>
      <c r="Q320" s="135"/>
      <c r="R320" s="135"/>
      <c r="S320" s="135"/>
      <c r="T320" s="135"/>
      <c r="U320" s="135"/>
      <c r="AD320" s="135"/>
      <c r="AE320" s="135"/>
      <c r="AF320" s="135"/>
      <c r="AG320" s="135"/>
      <c r="AH320" s="135"/>
      <c r="AI320" s="135"/>
      <c r="AJ320" s="135"/>
      <c r="AK320" s="135"/>
      <c r="AL320" s="135"/>
      <c r="AM320" s="135"/>
      <c r="AN320" s="135"/>
      <c r="AO320" s="135"/>
      <c r="AP320" s="135"/>
      <c r="AQ320" s="135"/>
      <c r="AR320" s="135"/>
      <c r="AS320" s="135"/>
      <c r="AT320" s="135"/>
      <c r="AU320" s="135"/>
      <c r="AV320" s="135"/>
      <c r="AW320" s="135"/>
      <c r="AX320" s="135"/>
      <c r="AY320" s="135"/>
      <c r="AZ320" s="135"/>
      <c r="BA320" s="135"/>
      <c r="BB320" s="135"/>
      <c r="BC320" s="135"/>
      <c r="BD320" s="135"/>
      <c r="BE320" s="135"/>
      <c r="BF320" s="135"/>
      <c r="BG320" s="135"/>
      <c r="BH320" s="135"/>
      <c r="BI320" s="135"/>
      <c r="BJ320" s="135"/>
      <c r="BK320" s="135"/>
      <c r="BL320" s="135"/>
      <c r="BM320" s="135"/>
      <c r="BN320" s="135"/>
      <c r="BO320" s="135"/>
      <c r="BP320" s="135"/>
      <c r="BQ320" s="135"/>
      <c r="BR320" s="135"/>
      <c r="BS320" s="135"/>
      <c r="BT320" s="135"/>
      <c r="BU320" s="135"/>
      <c r="BV320" s="135"/>
      <c r="BW320" s="135"/>
      <c r="BX320" s="135"/>
      <c r="BY320" s="135"/>
      <c r="BZ320" s="135"/>
      <c r="CA320" s="135"/>
      <c r="CB320" s="135"/>
      <c r="CC320" s="135"/>
      <c r="CD320" s="135"/>
      <c r="CE320" s="135"/>
      <c r="CF320" s="135"/>
      <c r="CG320" s="135"/>
      <c r="CH320" s="135"/>
      <c r="CI320" s="135"/>
      <c r="CJ320" s="135"/>
      <c r="CK320" s="135"/>
      <c r="CL320" s="135"/>
      <c r="CM320" s="135"/>
      <c r="CN320" s="135"/>
      <c r="CO320" s="135"/>
      <c r="CP320" s="135"/>
      <c r="CQ320" s="135"/>
      <c r="CR320" s="135"/>
      <c r="CS320" s="135"/>
      <c r="CT320" s="135"/>
      <c r="CU320" s="135"/>
      <c r="CV320" s="135"/>
      <c r="CW320" s="135"/>
      <c r="CX320" s="136"/>
    </row>
    <row r="321" spans="2:102">
      <c r="B321" s="133"/>
      <c r="C321" s="135"/>
      <c r="D321" s="135"/>
      <c r="E321" s="135"/>
      <c r="F321" s="135"/>
      <c r="G321" s="135"/>
      <c r="H321" s="135"/>
      <c r="I321" s="135"/>
      <c r="J321" s="135"/>
      <c r="K321" s="135"/>
      <c r="L321" s="135"/>
      <c r="M321" s="135"/>
      <c r="N321" s="135" t="s">
        <v>166</v>
      </c>
      <c r="O321" s="135"/>
      <c r="Q321" s="135"/>
      <c r="R321" s="135"/>
      <c r="S321" s="135"/>
      <c r="T321" s="135"/>
      <c r="U321" s="135"/>
      <c r="V321" s="135"/>
      <c r="W321" s="135"/>
      <c r="X321" s="135"/>
      <c r="Z321" s="135"/>
      <c r="AA321" s="135"/>
      <c r="AB321" s="135"/>
      <c r="AC321" s="135"/>
      <c r="AD321" s="135"/>
      <c r="AE321" s="135"/>
      <c r="AF321" s="135"/>
      <c r="AG321" s="135"/>
      <c r="AH321" s="135"/>
      <c r="AI321" s="135"/>
      <c r="AJ321" s="135"/>
      <c r="AK321" s="135"/>
      <c r="AL321" s="135"/>
      <c r="AM321" s="135"/>
      <c r="AN321" s="135"/>
      <c r="AO321" s="135"/>
      <c r="AP321" s="135"/>
      <c r="AQ321" s="135"/>
      <c r="AR321" s="135"/>
      <c r="AS321" s="135"/>
      <c r="AT321" s="135"/>
      <c r="AU321" s="135"/>
      <c r="AV321" s="135"/>
      <c r="AW321" s="135"/>
      <c r="AX321" s="135"/>
      <c r="AY321" s="135"/>
      <c r="AZ321" s="135"/>
      <c r="BA321" s="135"/>
      <c r="BB321" s="135"/>
      <c r="BC321" s="135"/>
      <c r="BD321" s="135"/>
      <c r="BE321" s="135"/>
      <c r="BF321" s="135"/>
      <c r="BG321" s="135"/>
      <c r="BH321" s="135"/>
      <c r="BI321" s="135"/>
      <c r="BJ321" s="135"/>
      <c r="BK321" s="135"/>
      <c r="BL321" s="135"/>
      <c r="BM321" s="135"/>
      <c r="BN321" s="135"/>
      <c r="BO321" s="135"/>
      <c r="BP321" s="135"/>
      <c r="BQ321" s="135"/>
      <c r="BR321" s="135"/>
      <c r="BS321" s="135"/>
      <c r="BT321" s="135"/>
      <c r="BU321" s="135"/>
      <c r="BV321" s="135"/>
      <c r="BW321" s="135"/>
      <c r="BX321" s="135"/>
      <c r="BY321" s="135"/>
      <c r="BZ321" s="135"/>
      <c r="CA321" s="135"/>
      <c r="CB321" s="135"/>
      <c r="CC321" s="135"/>
      <c r="CD321" s="135"/>
      <c r="CE321" s="135"/>
      <c r="CF321" s="135"/>
      <c r="CG321" s="135"/>
      <c r="CH321" s="135"/>
      <c r="CI321" s="135"/>
      <c r="CJ321" s="135"/>
      <c r="CK321" s="135"/>
      <c r="CL321" s="135"/>
      <c r="CM321" s="135"/>
      <c r="CN321" s="135"/>
      <c r="CO321" s="135"/>
      <c r="CP321" s="135"/>
      <c r="CQ321" s="135"/>
      <c r="CR321" s="135"/>
      <c r="CS321" s="135"/>
      <c r="CT321" s="135"/>
      <c r="CU321" s="135"/>
      <c r="CV321" s="135"/>
      <c r="CW321" s="135"/>
      <c r="CX321" s="136"/>
    </row>
    <row r="322" spans="2:102">
      <c r="B322" s="133"/>
      <c r="C322" s="135"/>
      <c r="D322" s="135"/>
      <c r="E322" s="135"/>
      <c r="F322" s="135"/>
      <c r="G322" s="135"/>
      <c r="H322" s="135"/>
      <c r="I322" s="135"/>
      <c r="J322" s="135"/>
      <c r="K322" s="135"/>
      <c r="L322" s="135"/>
      <c r="M322" s="135"/>
      <c r="N322" s="135"/>
      <c r="O322" s="135"/>
      <c r="P322" s="138" t="s">
        <v>167</v>
      </c>
      <c r="Q322" s="135"/>
      <c r="R322" s="135"/>
      <c r="S322" s="135"/>
      <c r="T322" s="135"/>
      <c r="U322" s="135"/>
      <c r="V322" s="135"/>
      <c r="W322" s="135"/>
      <c r="X322" s="135"/>
      <c r="Y322" s="138"/>
      <c r="Z322" s="135"/>
      <c r="AA322" s="135"/>
      <c r="AB322" s="135"/>
      <c r="AC322" s="135"/>
      <c r="AD322" s="135"/>
      <c r="AE322" s="135"/>
      <c r="AF322" s="135"/>
      <c r="AG322" s="135"/>
      <c r="AH322" s="135"/>
      <c r="AI322" s="135"/>
      <c r="AJ322" s="135"/>
      <c r="AK322" s="135"/>
      <c r="AL322" s="135"/>
      <c r="AM322" s="135"/>
      <c r="AN322" s="135"/>
      <c r="AO322" s="135"/>
      <c r="AP322" s="135"/>
      <c r="AQ322" s="135"/>
      <c r="AR322" s="135"/>
      <c r="AS322" s="135"/>
      <c r="AT322" s="135"/>
      <c r="AU322" s="135"/>
      <c r="AV322" s="135"/>
      <c r="AW322" s="135"/>
      <c r="AX322" s="135"/>
      <c r="AY322" s="135"/>
      <c r="AZ322" s="135"/>
      <c r="BA322" s="135"/>
      <c r="BB322" s="135"/>
      <c r="BC322" s="135"/>
      <c r="BD322" s="135"/>
      <c r="BE322" s="135"/>
      <c r="BF322" s="135"/>
      <c r="BG322" s="135"/>
      <c r="BH322" s="135"/>
      <c r="BI322" s="135"/>
      <c r="BJ322" s="135"/>
      <c r="BK322" s="135"/>
      <c r="BL322" s="135"/>
      <c r="BM322" s="135"/>
      <c r="BN322" s="135"/>
      <c r="BO322" s="135"/>
      <c r="BP322" s="135"/>
      <c r="BQ322" s="135"/>
      <c r="BR322" s="135"/>
      <c r="BS322" s="135"/>
      <c r="BT322" s="135"/>
      <c r="BU322" s="135"/>
      <c r="BV322" s="135"/>
      <c r="BW322" s="135"/>
      <c r="BX322" s="135"/>
      <c r="BY322" s="135"/>
      <c r="BZ322" s="135"/>
      <c r="CA322" s="135"/>
      <c r="CB322" s="135"/>
      <c r="CC322" s="135"/>
      <c r="CD322" s="135"/>
      <c r="CE322" s="135"/>
      <c r="CF322" s="135"/>
      <c r="CG322" s="135"/>
      <c r="CH322" s="135"/>
      <c r="CI322" s="135"/>
      <c r="CJ322" s="135"/>
      <c r="CK322" s="135"/>
      <c r="CL322" s="135"/>
      <c r="CM322" s="135"/>
      <c r="CN322" s="135"/>
      <c r="CO322" s="135"/>
      <c r="CP322" s="135"/>
      <c r="CQ322" s="135"/>
      <c r="CR322" s="135"/>
      <c r="CS322" s="135"/>
      <c r="CT322" s="135"/>
      <c r="CU322" s="135"/>
      <c r="CV322" s="135"/>
      <c r="CW322" s="135"/>
      <c r="CX322" s="136"/>
    </row>
    <row r="323" spans="2:102">
      <c r="B323" s="133"/>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c r="AB323" s="135"/>
      <c r="AC323" s="135"/>
      <c r="AD323" s="135"/>
      <c r="AE323" s="145" t="s">
        <v>168</v>
      </c>
      <c r="AF323" s="135"/>
      <c r="AG323" s="135"/>
      <c r="AH323" s="135"/>
      <c r="AI323" s="135"/>
      <c r="AJ323" s="135"/>
      <c r="AK323" s="135"/>
      <c r="AL323" s="135"/>
      <c r="AM323" s="135"/>
      <c r="AN323" s="135"/>
      <c r="AO323" s="135"/>
      <c r="AP323" s="135"/>
      <c r="AQ323" s="135"/>
      <c r="AR323" s="135"/>
      <c r="AS323" s="135"/>
      <c r="AT323" s="135"/>
      <c r="AU323" s="135"/>
      <c r="AV323" s="135"/>
      <c r="AW323" s="135"/>
      <c r="AX323" s="135"/>
      <c r="AY323" s="135"/>
      <c r="AZ323" s="135"/>
      <c r="BA323" s="135"/>
      <c r="BB323" s="135"/>
      <c r="BC323" s="135"/>
      <c r="BD323" s="135"/>
      <c r="BE323" s="135"/>
      <c r="BF323" s="135"/>
      <c r="BG323" s="135"/>
      <c r="BH323" s="135"/>
      <c r="BI323" s="135"/>
      <c r="BJ323" s="135"/>
      <c r="BK323" s="135"/>
      <c r="BL323" s="135"/>
      <c r="BM323" s="135"/>
      <c r="BN323" s="135"/>
      <c r="BO323" s="135"/>
      <c r="BP323" s="135"/>
      <c r="BQ323" s="135"/>
      <c r="BR323" s="135"/>
      <c r="BS323" s="135"/>
      <c r="BT323" s="135"/>
      <c r="BU323" s="135"/>
      <c r="BV323" s="135"/>
      <c r="BW323" s="135"/>
      <c r="BX323" s="135"/>
      <c r="BY323" s="135"/>
      <c r="BZ323" s="135"/>
      <c r="CA323" s="145" t="s">
        <v>169</v>
      </c>
      <c r="CB323" s="135"/>
      <c r="CC323" s="135"/>
      <c r="CD323" s="135"/>
      <c r="CE323" s="135"/>
      <c r="CF323" s="135"/>
      <c r="CG323" s="135"/>
      <c r="CH323" s="135"/>
      <c r="CI323" s="135"/>
      <c r="CJ323" s="135"/>
      <c r="CK323" s="135"/>
      <c r="CL323" s="135"/>
      <c r="CM323" s="135"/>
      <c r="CN323" s="135"/>
      <c r="CO323" s="135"/>
      <c r="CP323" s="135"/>
      <c r="CQ323" s="135"/>
      <c r="CR323" s="135"/>
      <c r="CS323" s="135"/>
      <c r="CT323" s="135"/>
      <c r="CU323" s="135"/>
      <c r="CV323" s="135"/>
      <c r="CW323" s="135"/>
      <c r="CX323" s="136"/>
    </row>
    <row r="324" spans="2:102">
      <c r="B324" s="133"/>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c r="AB324" s="135"/>
      <c r="AC324" s="135"/>
      <c r="AD324" s="135"/>
      <c r="AE324" s="135"/>
      <c r="AF324" s="135"/>
      <c r="AG324" s="135"/>
      <c r="AH324" s="135"/>
      <c r="AI324" s="135"/>
      <c r="AJ324" s="135"/>
      <c r="AK324" s="135"/>
      <c r="AL324" s="135"/>
      <c r="AM324" s="135"/>
      <c r="AN324" s="135"/>
      <c r="AO324" s="135"/>
      <c r="AP324" s="135"/>
      <c r="AQ324" s="135"/>
      <c r="AR324" s="135"/>
      <c r="AS324" s="135"/>
      <c r="AT324" s="135"/>
      <c r="AU324" s="135"/>
      <c r="AV324" s="135"/>
      <c r="AW324" s="135"/>
      <c r="AX324" s="135"/>
      <c r="AY324" s="135"/>
      <c r="AZ324" s="135"/>
      <c r="BA324" s="135"/>
      <c r="BB324" s="135"/>
      <c r="BC324" s="135"/>
      <c r="BD324" s="135"/>
      <c r="BE324" s="135"/>
      <c r="BF324" s="135"/>
      <c r="BG324" s="135"/>
      <c r="BH324" s="135"/>
      <c r="BI324" s="135"/>
      <c r="BJ324" s="135"/>
      <c r="BK324" s="135"/>
      <c r="BL324" s="135"/>
      <c r="BM324" s="135"/>
      <c r="BN324" s="135"/>
      <c r="BO324" s="135"/>
      <c r="BP324" s="135"/>
      <c r="BQ324" s="135"/>
      <c r="BR324" s="135"/>
      <c r="BS324" s="135"/>
      <c r="BT324" s="135"/>
      <c r="BU324" s="135"/>
      <c r="BV324" s="135"/>
      <c r="BW324" s="135"/>
      <c r="BX324" s="135"/>
      <c r="BY324" s="135"/>
      <c r="BZ324" s="135"/>
      <c r="CA324" s="135"/>
      <c r="CB324" s="135"/>
      <c r="CC324" s="135"/>
      <c r="CD324" s="135"/>
      <c r="CE324" s="135"/>
      <c r="CF324" s="135"/>
      <c r="CG324" s="135"/>
      <c r="CH324" s="135"/>
      <c r="CI324" s="135"/>
      <c r="CJ324" s="135"/>
      <c r="CK324" s="135"/>
      <c r="CL324" s="135"/>
      <c r="CM324" s="135"/>
      <c r="CN324" s="135"/>
      <c r="CO324" s="135"/>
      <c r="CP324" s="135"/>
      <c r="CQ324" s="135"/>
      <c r="CR324" s="135"/>
      <c r="CS324" s="135"/>
      <c r="CT324" s="135"/>
      <c r="CU324" s="135"/>
      <c r="CV324" s="135"/>
      <c r="CW324" s="135"/>
      <c r="CX324" s="136"/>
    </row>
    <row r="325" spans="2:102">
      <c r="B325" s="133"/>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c r="AB325" s="135"/>
      <c r="AC325" s="135"/>
      <c r="AD325" s="135"/>
      <c r="AE325" s="135"/>
      <c r="AF325" s="135"/>
      <c r="AG325" s="135"/>
      <c r="AH325" s="135"/>
      <c r="AI325" s="135"/>
      <c r="AJ325" s="135"/>
      <c r="AK325" s="135"/>
      <c r="AL325" s="135"/>
      <c r="AM325" s="135"/>
      <c r="AN325" s="135"/>
      <c r="AO325" s="135"/>
      <c r="AP325" s="135"/>
      <c r="AQ325" s="135"/>
      <c r="AR325" s="135"/>
      <c r="AS325" s="135"/>
      <c r="AT325" s="135"/>
      <c r="AU325" s="135"/>
      <c r="AV325" s="135"/>
      <c r="AW325" s="135"/>
      <c r="AX325" s="135"/>
      <c r="AY325" s="135"/>
      <c r="AZ325" s="135"/>
      <c r="BA325" s="135"/>
      <c r="BB325" s="135"/>
      <c r="BC325" s="135"/>
      <c r="BD325" s="135"/>
      <c r="BE325" s="135"/>
      <c r="BF325" s="135"/>
      <c r="BG325" s="135"/>
      <c r="BH325" s="135"/>
      <c r="BI325" s="135"/>
      <c r="BJ325" s="135"/>
      <c r="BK325" s="135"/>
      <c r="BL325" s="135"/>
      <c r="BM325" s="135"/>
      <c r="BN325" s="135"/>
      <c r="BO325" s="135"/>
      <c r="BP325" s="135"/>
      <c r="BQ325" s="135"/>
      <c r="BR325" s="135"/>
      <c r="BS325" s="135"/>
      <c r="BT325" s="135"/>
      <c r="BU325" s="135"/>
      <c r="BV325" s="135"/>
      <c r="BW325" s="135"/>
      <c r="BX325" s="135"/>
      <c r="BY325" s="135"/>
      <c r="BZ325" s="135"/>
      <c r="CA325" s="135"/>
      <c r="CB325" s="135"/>
      <c r="CC325" s="135"/>
      <c r="CD325" s="135"/>
      <c r="CE325" s="135"/>
      <c r="CF325" s="135"/>
      <c r="CG325" s="135"/>
      <c r="CH325" s="135"/>
      <c r="CI325" s="135"/>
      <c r="CJ325" s="135"/>
      <c r="CK325" s="135"/>
      <c r="CL325" s="135"/>
      <c r="CM325" s="135"/>
      <c r="CN325" s="135"/>
      <c r="CO325" s="135"/>
      <c r="CP325" s="135"/>
      <c r="CQ325" s="135"/>
      <c r="CR325" s="135"/>
      <c r="CS325" s="135"/>
      <c r="CT325" s="135"/>
      <c r="CU325" s="135"/>
      <c r="CV325" s="135"/>
      <c r="CW325" s="135"/>
      <c r="CX325" s="136"/>
    </row>
    <row r="326" spans="2:102">
      <c r="B326" s="133"/>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c r="AB326" s="135"/>
      <c r="AC326" s="135"/>
      <c r="AD326" s="135"/>
      <c r="AE326" s="135"/>
      <c r="AF326" s="135"/>
      <c r="AG326" s="135"/>
      <c r="AH326" s="135"/>
      <c r="AI326" s="135"/>
      <c r="AJ326" s="135"/>
      <c r="AK326" s="135"/>
      <c r="AL326" s="135"/>
      <c r="AM326" s="135"/>
      <c r="AN326" s="135"/>
      <c r="AO326" s="135"/>
      <c r="AP326" s="135"/>
      <c r="AQ326" s="135"/>
      <c r="AR326" s="135"/>
      <c r="AS326" s="135"/>
      <c r="AT326" s="135"/>
      <c r="AU326" s="135"/>
      <c r="AV326" s="135"/>
      <c r="AW326" s="135"/>
      <c r="AX326" s="135"/>
      <c r="AY326" s="135"/>
      <c r="AZ326" s="135"/>
      <c r="BA326" s="135"/>
      <c r="BB326" s="135"/>
      <c r="BC326" s="135"/>
      <c r="BD326" s="135"/>
      <c r="BE326" s="135"/>
      <c r="BF326" s="135"/>
      <c r="BG326" s="135"/>
      <c r="BH326" s="135"/>
      <c r="BI326" s="135"/>
      <c r="BJ326" s="135"/>
      <c r="BK326" s="135"/>
      <c r="BL326" s="135"/>
      <c r="BM326" s="135"/>
      <c r="BN326" s="135"/>
      <c r="BO326" s="135"/>
      <c r="BP326" s="135"/>
      <c r="BQ326" s="135"/>
      <c r="BR326" s="135"/>
      <c r="BS326" s="135"/>
      <c r="BT326" s="135"/>
      <c r="BU326" s="135"/>
      <c r="BV326" s="135"/>
      <c r="BW326" s="135"/>
      <c r="BX326" s="135"/>
      <c r="BY326" s="135"/>
      <c r="BZ326" s="135"/>
      <c r="CA326" s="135"/>
      <c r="CB326" s="135"/>
      <c r="CC326" s="135"/>
      <c r="CD326" s="135"/>
      <c r="CE326" s="135"/>
      <c r="CF326" s="135"/>
      <c r="CG326" s="135"/>
      <c r="CH326" s="135"/>
      <c r="CI326" s="135"/>
      <c r="CJ326" s="135"/>
      <c r="CK326" s="135"/>
      <c r="CL326" s="135"/>
      <c r="CM326" s="135"/>
      <c r="CN326" s="135"/>
      <c r="CO326" s="135"/>
      <c r="CP326" s="135"/>
      <c r="CQ326" s="135"/>
      <c r="CR326" s="135"/>
      <c r="CS326" s="135"/>
      <c r="CT326" s="135"/>
      <c r="CU326" s="135"/>
      <c r="CV326" s="135"/>
      <c r="CW326" s="135"/>
      <c r="CX326" s="136"/>
    </row>
    <row r="327" spans="2:102">
      <c r="B327" s="133"/>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c r="AB327" s="135"/>
      <c r="AC327" s="135"/>
      <c r="AD327" s="135"/>
      <c r="AE327" s="135"/>
      <c r="AF327" s="135"/>
      <c r="AG327" s="135"/>
      <c r="AH327" s="135"/>
      <c r="AI327" s="135"/>
      <c r="AJ327" s="135"/>
      <c r="AK327" s="135"/>
      <c r="AL327" s="135"/>
      <c r="AM327" s="135"/>
      <c r="AN327" s="135"/>
      <c r="AO327" s="135"/>
      <c r="AP327" s="135"/>
      <c r="AQ327" s="135"/>
      <c r="AR327" s="135"/>
      <c r="AS327" s="135"/>
      <c r="AT327" s="135"/>
      <c r="AU327" s="135"/>
      <c r="AV327" s="135"/>
      <c r="AW327" s="135"/>
      <c r="AX327" s="135"/>
      <c r="AY327" s="135"/>
      <c r="AZ327" s="135"/>
      <c r="BA327" s="135"/>
      <c r="BB327" s="135"/>
      <c r="BC327" s="135"/>
      <c r="BD327" s="135"/>
      <c r="BE327" s="135"/>
      <c r="BF327" s="135"/>
      <c r="BG327" s="135"/>
      <c r="BH327" s="135"/>
      <c r="BI327" s="135"/>
      <c r="BJ327" s="135"/>
      <c r="BK327" s="135"/>
      <c r="BL327" s="135"/>
      <c r="BM327" s="135"/>
      <c r="BN327" s="135"/>
      <c r="BO327" s="135"/>
      <c r="BP327" s="135"/>
      <c r="BQ327" s="135"/>
      <c r="BR327" s="135"/>
      <c r="BS327" s="135"/>
      <c r="BT327" s="135"/>
      <c r="BU327" s="135"/>
      <c r="BV327" s="135"/>
      <c r="BW327" s="135"/>
      <c r="BX327" s="135"/>
      <c r="BY327" s="135"/>
      <c r="BZ327" s="135"/>
      <c r="CA327" s="135"/>
      <c r="CB327" s="135"/>
      <c r="CC327" s="135"/>
      <c r="CD327" s="135"/>
      <c r="CE327" s="135"/>
      <c r="CF327" s="135"/>
      <c r="CG327" s="135"/>
      <c r="CH327" s="135"/>
      <c r="CI327" s="135"/>
      <c r="CJ327" s="135"/>
      <c r="CK327" s="135"/>
      <c r="CL327" s="135"/>
      <c r="CM327" s="135"/>
      <c r="CN327" s="135"/>
      <c r="CO327" s="135"/>
      <c r="CP327" s="135"/>
      <c r="CQ327" s="135"/>
      <c r="CR327" s="135"/>
      <c r="CS327" s="135"/>
      <c r="CT327" s="135"/>
      <c r="CU327" s="135"/>
      <c r="CV327" s="135"/>
      <c r="CW327" s="135"/>
      <c r="CX327" s="136"/>
    </row>
    <row r="328" spans="2:102">
      <c r="B328" s="133"/>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c r="AB328" s="135"/>
      <c r="AC328" s="135"/>
      <c r="AD328" s="135"/>
      <c r="AE328" s="135"/>
      <c r="AF328" s="135"/>
      <c r="AG328" s="135"/>
      <c r="AH328" s="135"/>
      <c r="AI328" s="135"/>
      <c r="AJ328" s="135"/>
      <c r="AK328" s="135"/>
      <c r="AL328" s="135"/>
      <c r="AM328" s="135"/>
      <c r="AN328" s="135"/>
      <c r="AO328" s="135"/>
      <c r="AP328" s="135"/>
      <c r="AQ328" s="135"/>
      <c r="AR328" s="135"/>
      <c r="AS328" s="135"/>
      <c r="AT328" s="135"/>
      <c r="AU328" s="135"/>
      <c r="AV328" s="135"/>
      <c r="AW328" s="135"/>
      <c r="AX328" s="135"/>
      <c r="AY328" s="135"/>
      <c r="AZ328" s="135"/>
      <c r="BA328" s="135"/>
      <c r="BB328" s="135"/>
      <c r="BC328" s="135"/>
      <c r="BD328" s="135"/>
      <c r="BE328" s="135"/>
      <c r="BF328" s="135"/>
      <c r="BG328" s="135"/>
      <c r="BH328" s="135"/>
      <c r="BI328" s="135"/>
      <c r="BJ328" s="135"/>
      <c r="BK328" s="135"/>
      <c r="BL328" s="135"/>
      <c r="BM328" s="135"/>
      <c r="BN328" s="135"/>
      <c r="BO328" s="135"/>
      <c r="BP328" s="135"/>
      <c r="BQ328" s="135"/>
      <c r="BR328" s="135"/>
      <c r="BS328" s="135"/>
      <c r="BT328" s="135"/>
      <c r="BU328" s="135"/>
      <c r="BV328" s="135"/>
      <c r="BW328" s="135"/>
      <c r="BX328" s="135"/>
      <c r="BY328" s="135"/>
      <c r="BZ328" s="135"/>
      <c r="CA328" s="135"/>
      <c r="CB328" s="135"/>
      <c r="CC328" s="135"/>
      <c r="CD328" s="135"/>
      <c r="CE328" s="135"/>
      <c r="CF328" s="135"/>
      <c r="CG328" s="135"/>
      <c r="CH328" s="135"/>
      <c r="CI328" s="135"/>
      <c r="CJ328" s="135"/>
      <c r="CK328" s="135"/>
      <c r="CL328" s="135"/>
      <c r="CM328" s="135"/>
      <c r="CN328" s="135"/>
      <c r="CO328" s="135"/>
      <c r="CP328" s="135"/>
      <c r="CQ328" s="135"/>
      <c r="CR328" s="135"/>
      <c r="CS328" s="135"/>
      <c r="CT328" s="135"/>
      <c r="CU328" s="135"/>
      <c r="CV328" s="135"/>
      <c r="CW328" s="135"/>
      <c r="CX328" s="136"/>
    </row>
    <row r="329" spans="2:102">
      <c r="B329" s="133"/>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c r="AB329" s="135"/>
      <c r="AC329" s="135"/>
      <c r="AD329" s="135"/>
      <c r="AE329" s="135"/>
      <c r="AF329" s="135"/>
      <c r="AG329" s="135"/>
      <c r="AH329" s="135"/>
      <c r="AI329" s="135"/>
      <c r="AJ329" s="135"/>
      <c r="AK329" s="135"/>
      <c r="AL329" s="135"/>
      <c r="AM329" s="135"/>
      <c r="AN329" s="135"/>
      <c r="AO329" s="135"/>
      <c r="AP329" s="135"/>
      <c r="AQ329" s="135"/>
      <c r="AR329" s="135"/>
      <c r="AS329" s="135"/>
      <c r="AT329" s="135"/>
      <c r="AU329" s="135"/>
      <c r="AV329" s="135"/>
      <c r="AW329" s="135"/>
      <c r="AX329" s="135"/>
      <c r="AY329" s="135"/>
      <c r="AZ329" s="135"/>
      <c r="BA329" s="135"/>
      <c r="BB329" s="135"/>
      <c r="BC329" s="135"/>
      <c r="BD329" s="135"/>
      <c r="BE329" s="135"/>
      <c r="BF329" s="135"/>
      <c r="BG329" s="135"/>
      <c r="BH329" s="135"/>
      <c r="BI329" s="135"/>
      <c r="BJ329" s="135"/>
      <c r="BK329" s="135"/>
      <c r="BL329" s="135"/>
      <c r="BM329" s="135"/>
      <c r="BN329" s="135"/>
      <c r="BO329" s="135"/>
      <c r="BP329" s="135"/>
      <c r="BQ329" s="135"/>
      <c r="BR329" s="135"/>
      <c r="BS329" s="135"/>
      <c r="BT329" s="135"/>
      <c r="BU329" s="135"/>
      <c r="BV329" s="135"/>
      <c r="BW329" s="135"/>
      <c r="BX329" s="135"/>
      <c r="BY329" s="135"/>
      <c r="BZ329" s="135"/>
      <c r="CA329" s="135"/>
      <c r="CB329" s="135"/>
      <c r="CC329" s="135"/>
      <c r="CD329" s="135"/>
      <c r="CE329" s="135"/>
      <c r="CF329" s="135"/>
      <c r="CG329" s="135"/>
      <c r="CH329" s="135"/>
      <c r="CI329" s="135"/>
      <c r="CJ329" s="135"/>
      <c r="CK329" s="135"/>
      <c r="CL329" s="135"/>
      <c r="CM329" s="135"/>
      <c r="CN329" s="135"/>
      <c r="CO329" s="135"/>
      <c r="CP329" s="135"/>
      <c r="CQ329" s="135"/>
      <c r="CR329" s="135"/>
      <c r="CS329" s="135"/>
      <c r="CT329" s="135"/>
      <c r="CU329" s="135"/>
      <c r="CV329" s="135"/>
      <c r="CW329" s="135"/>
      <c r="CX329" s="136"/>
    </row>
    <row r="330" spans="2:102">
      <c r="B330" s="133"/>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c r="AB330" s="135"/>
      <c r="AC330" s="135"/>
      <c r="AD330" s="135"/>
      <c r="AE330" s="135"/>
      <c r="AF330" s="135"/>
      <c r="AG330" s="135"/>
      <c r="AH330" s="135"/>
      <c r="AI330" s="135"/>
      <c r="AJ330" s="135"/>
      <c r="AK330" s="135"/>
      <c r="AL330" s="135"/>
      <c r="AM330" s="135"/>
      <c r="AN330" s="135"/>
      <c r="AO330" s="135"/>
      <c r="AP330" s="135"/>
      <c r="AQ330" s="135"/>
      <c r="AR330" s="135"/>
      <c r="AS330" s="135"/>
      <c r="AT330" s="135"/>
      <c r="AU330" s="135"/>
      <c r="AV330" s="135"/>
      <c r="AW330" s="135"/>
      <c r="AX330" s="135"/>
      <c r="AY330" s="135"/>
      <c r="AZ330" s="135"/>
      <c r="BA330" s="135"/>
      <c r="BB330" s="135"/>
      <c r="BC330" s="135"/>
      <c r="BD330" s="135"/>
      <c r="BE330" s="135"/>
      <c r="BF330" s="135"/>
      <c r="BG330" s="135"/>
      <c r="BH330" s="135"/>
      <c r="BI330" s="135"/>
      <c r="BJ330" s="135"/>
      <c r="BK330" s="135"/>
      <c r="BL330" s="135"/>
      <c r="BM330" s="135"/>
      <c r="BN330" s="135"/>
      <c r="BO330" s="135"/>
      <c r="BP330" s="135"/>
      <c r="BQ330" s="135"/>
      <c r="BR330" s="135"/>
      <c r="BS330" s="135"/>
      <c r="BT330" s="135"/>
      <c r="BU330" s="135"/>
      <c r="BV330" s="135"/>
      <c r="BW330" s="135"/>
      <c r="BX330" s="135"/>
      <c r="BY330" s="135"/>
      <c r="BZ330" s="135"/>
      <c r="CA330" s="135"/>
      <c r="CB330" s="135"/>
      <c r="CC330" s="135"/>
      <c r="CD330" s="135"/>
      <c r="CE330" s="135"/>
      <c r="CF330" s="135"/>
      <c r="CG330" s="135"/>
      <c r="CH330" s="135"/>
      <c r="CI330" s="135"/>
      <c r="CJ330" s="135"/>
      <c r="CK330" s="135"/>
      <c r="CL330" s="135"/>
      <c r="CM330" s="135"/>
      <c r="CN330" s="135"/>
      <c r="CO330" s="135"/>
      <c r="CP330" s="135"/>
      <c r="CQ330" s="135"/>
      <c r="CR330" s="135"/>
      <c r="CS330" s="135"/>
      <c r="CT330" s="135"/>
      <c r="CU330" s="135"/>
      <c r="CV330" s="135"/>
      <c r="CW330" s="135"/>
      <c r="CX330" s="136"/>
    </row>
    <row r="331" spans="2:102">
      <c r="B331" s="130"/>
      <c r="C331" s="131"/>
      <c r="D331" s="131"/>
      <c r="E331" s="131"/>
      <c r="F331" s="131"/>
      <c r="G331" s="131"/>
      <c r="H331" s="131"/>
      <c r="I331" s="131"/>
      <c r="J331" s="131"/>
      <c r="K331" s="131"/>
      <c r="L331" s="131"/>
      <c r="M331" s="131"/>
      <c r="N331" s="131"/>
      <c r="O331" s="131"/>
      <c r="P331" s="131"/>
      <c r="Q331" s="131"/>
      <c r="R331" s="131"/>
      <c r="S331" s="131"/>
      <c r="T331" s="131"/>
      <c r="U331" s="131"/>
      <c r="V331" s="140"/>
      <c r="W331" s="140"/>
      <c r="X331" s="140"/>
      <c r="Y331" s="140"/>
      <c r="Z331" s="140"/>
      <c r="AA331" s="140"/>
      <c r="AB331" s="140"/>
      <c r="AC331" s="140"/>
      <c r="AD331" s="131"/>
      <c r="AE331" s="131"/>
      <c r="AF331" s="131"/>
      <c r="AG331" s="131"/>
      <c r="AH331" s="131"/>
      <c r="AI331" s="131"/>
      <c r="AJ331" s="131"/>
      <c r="AK331" s="131"/>
      <c r="AL331" s="131"/>
      <c r="AM331" s="131"/>
      <c r="AN331" s="131"/>
      <c r="AO331" s="131"/>
      <c r="AP331" s="131"/>
      <c r="AQ331" s="131"/>
      <c r="AR331" s="131"/>
      <c r="AS331" s="131"/>
      <c r="AT331" s="131"/>
      <c r="AU331" s="131"/>
      <c r="AV331" s="131"/>
      <c r="AW331" s="131"/>
      <c r="AX331" s="131"/>
      <c r="AY331" s="131"/>
      <c r="AZ331" s="131"/>
      <c r="BA331" s="131"/>
      <c r="BB331" s="131"/>
      <c r="BC331" s="131"/>
      <c r="BD331" s="131"/>
      <c r="BE331" s="131"/>
      <c r="BF331" s="131"/>
      <c r="BG331" s="131"/>
      <c r="BH331" s="131"/>
      <c r="BI331" s="131"/>
      <c r="BJ331" s="131"/>
      <c r="BK331" s="131"/>
      <c r="BL331" s="131"/>
      <c r="BM331" s="131"/>
      <c r="BN331" s="131"/>
      <c r="BO331" s="131"/>
      <c r="BP331" s="131"/>
      <c r="BQ331" s="131"/>
      <c r="BR331" s="131"/>
      <c r="BS331" s="131"/>
      <c r="BT331" s="131"/>
      <c r="BU331" s="131"/>
      <c r="BV331" s="131"/>
      <c r="BW331" s="131"/>
      <c r="BX331" s="131"/>
      <c r="BY331" s="131"/>
      <c r="BZ331" s="131"/>
      <c r="CA331" s="131"/>
      <c r="CB331" s="131"/>
      <c r="CC331" s="131"/>
      <c r="CD331" s="131"/>
      <c r="CE331" s="131"/>
      <c r="CF331" s="131"/>
      <c r="CG331" s="131"/>
      <c r="CH331" s="131"/>
      <c r="CI331" s="131"/>
      <c r="CJ331" s="131"/>
      <c r="CK331" s="131"/>
      <c r="CL331" s="131"/>
      <c r="CM331" s="131"/>
      <c r="CN331" s="131"/>
      <c r="CO331" s="131"/>
      <c r="CP331" s="131"/>
      <c r="CQ331" s="131"/>
      <c r="CR331" s="131"/>
      <c r="CS331" s="131"/>
      <c r="CT331" s="131"/>
      <c r="CU331" s="131"/>
      <c r="CV331" s="131"/>
      <c r="CW331" s="131"/>
      <c r="CX331" s="132"/>
    </row>
    <row r="332" spans="2:102">
      <c r="B332" s="133"/>
      <c r="C332" s="135"/>
      <c r="D332" s="135"/>
      <c r="E332" s="135"/>
      <c r="F332" s="135"/>
      <c r="G332" s="135"/>
      <c r="H332" s="135"/>
      <c r="I332" s="135"/>
      <c r="J332" s="135"/>
      <c r="K332" s="135"/>
      <c r="L332" s="135"/>
      <c r="M332" s="135"/>
      <c r="N332" s="135"/>
      <c r="O332" s="135"/>
      <c r="P332" s="135"/>
      <c r="Q332" s="135"/>
      <c r="R332" s="135"/>
      <c r="S332" s="135"/>
      <c r="T332" s="135"/>
      <c r="U332" s="135"/>
      <c r="AD332" s="135"/>
      <c r="AE332" s="135"/>
      <c r="AF332" s="135"/>
      <c r="AG332" s="135"/>
      <c r="AH332" s="135"/>
      <c r="AI332" s="135"/>
      <c r="AJ332" s="135"/>
      <c r="AK332" s="135"/>
      <c r="AL332" s="135"/>
      <c r="AM332" s="135"/>
      <c r="AN332" s="135"/>
      <c r="AO332" s="135"/>
      <c r="AP332" s="135"/>
      <c r="AQ332" s="135"/>
      <c r="AR332" s="135"/>
      <c r="AS332" s="135"/>
      <c r="AT332" s="135"/>
      <c r="AU332" s="135"/>
      <c r="AV332" s="135"/>
      <c r="AW332" s="135"/>
      <c r="AX332" s="135"/>
      <c r="AY332" s="135"/>
      <c r="AZ332" s="135"/>
      <c r="BA332" s="135"/>
      <c r="BB332" s="135"/>
      <c r="BC332" s="135"/>
      <c r="BD332" s="135"/>
      <c r="BE332" s="135"/>
      <c r="BF332" s="135"/>
      <c r="BG332" s="135"/>
      <c r="BH332" s="135"/>
      <c r="BI332" s="135"/>
      <c r="BJ332" s="135"/>
      <c r="BK332" s="135"/>
      <c r="BL332" s="135"/>
      <c r="BM332" s="135"/>
      <c r="BN332" s="135"/>
      <c r="BO332" s="135"/>
      <c r="BP332" s="135"/>
      <c r="BQ332" s="135"/>
      <c r="BR332" s="135"/>
      <c r="BS332" s="135"/>
      <c r="BT332" s="135"/>
      <c r="BU332" s="135"/>
      <c r="BV332" s="135"/>
      <c r="BW332" s="135"/>
      <c r="BX332" s="135"/>
      <c r="BY332" s="135"/>
      <c r="BZ332" s="135"/>
      <c r="CA332" s="135"/>
      <c r="CB332" s="135"/>
      <c r="CC332" s="135"/>
      <c r="CD332" s="135"/>
      <c r="CE332" s="135"/>
      <c r="CF332" s="135"/>
      <c r="CG332" s="135"/>
      <c r="CH332" s="135"/>
      <c r="CI332" s="135"/>
      <c r="CJ332" s="135"/>
      <c r="CK332" s="135"/>
      <c r="CL332" s="135"/>
      <c r="CM332" s="135"/>
      <c r="CN332" s="135"/>
      <c r="CO332" s="135"/>
      <c r="CP332" s="135"/>
      <c r="CQ332" s="135"/>
      <c r="CR332" s="135"/>
      <c r="CS332" s="135"/>
      <c r="CT332" s="135"/>
      <c r="CU332" s="135"/>
      <c r="CV332" s="135"/>
      <c r="CW332" s="135"/>
      <c r="CX332" s="136"/>
    </row>
    <row r="333" spans="2:102">
      <c r="B333" s="133"/>
      <c r="C333" s="135"/>
      <c r="D333" s="135"/>
      <c r="E333" s="135"/>
      <c r="F333" s="135"/>
      <c r="G333" s="135"/>
      <c r="H333" s="135" t="s">
        <v>170</v>
      </c>
      <c r="I333" s="135"/>
      <c r="J333" s="135"/>
      <c r="K333" s="135"/>
      <c r="L333" s="135"/>
      <c r="M333" s="135"/>
      <c r="N333" s="135" t="s">
        <v>171</v>
      </c>
      <c r="O333" s="135"/>
      <c r="P333" s="135"/>
      <c r="X333" s="135"/>
      <c r="Y333" s="135"/>
      <c r="AD333" s="135"/>
      <c r="AE333" s="135"/>
      <c r="AF333" s="135"/>
      <c r="AG333" s="135"/>
      <c r="AH333" s="135"/>
      <c r="AI333" s="135"/>
      <c r="AJ333" s="135"/>
      <c r="AK333" s="135"/>
      <c r="AL333" s="135"/>
      <c r="AM333" s="135"/>
      <c r="AN333" s="135"/>
      <c r="AO333" s="135"/>
      <c r="AP333" s="135"/>
      <c r="AQ333" s="135"/>
      <c r="AR333" s="135"/>
      <c r="AS333" s="135"/>
      <c r="AT333" s="135"/>
      <c r="AU333" s="135"/>
      <c r="AV333" s="135"/>
      <c r="AW333" s="135"/>
      <c r="AX333" s="135"/>
      <c r="AY333" s="135"/>
      <c r="AZ333" s="135"/>
      <c r="BA333" s="135"/>
      <c r="BB333" s="135"/>
      <c r="BC333" s="135"/>
      <c r="BD333" s="135"/>
      <c r="BE333" s="135"/>
      <c r="BF333" s="135"/>
      <c r="BG333" s="135"/>
      <c r="BH333" s="135"/>
      <c r="BI333" s="135"/>
      <c r="BJ333" s="135"/>
      <c r="BK333" s="135"/>
      <c r="BL333" s="135"/>
      <c r="BM333" s="135"/>
      <c r="BN333" s="135"/>
      <c r="BO333" s="135"/>
      <c r="BP333" s="135"/>
      <c r="BQ333" s="135"/>
      <c r="BR333" s="135"/>
      <c r="BS333" s="135"/>
      <c r="BT333" s="135"/>
      <c r="BU333" s="135"/>
      <c r="BV333" s="135"/>
      <c r="BW333" s="135"/>
      <c r="BX333" s="135"/>
      <c r="BY333" s="135"/>
      <c r="BZ333" s="135"/>
      <c r="CA333" s="135"/>
      <c r="CB333" s="135"/>
      <c r="CC333" s="135"/>
      <c r="CD333" s="135"/>
      <c r="CE333" s="135"/>
      <c r="CF333" s="135"/>
      <c r="CG333" s="135"/>
      <c r="CH333" s="135"/>
      <c r="CI333" s="135"/>
      <c r="CJ333" s="135"/>
      <c r="CK333" s="135"/>
      <c r="CL333" s="135"/>
      <c r="CM333" s="135"/>
      <c r="CN333" s="135"/>
      <c r="CO333" s="135"/>
      <c r="CP333" s="135"/>
      <c r="CQ333" s="135"/>
      <c r="CR333" s="135"/>
      <c r="CS333" s="135"/>
      <c r="CT333" s="135"/>
      <c r="CU333" s="135"/>
      <c r="CV333" s="135"/>
      <c r="CW333" s="135"/>
      <c r="CX333" s="136"/>
    </row>
    <row r="334" spans="2:102">
      <c r="B334" s="133"/>
      <c r="C334" s="135"/>
      <c r="D334" s="135"/>
      <c r="E334" s="135"/>
      <c r="F334" s="135"/>
      <c r="G334" s="135"/>
      <c r="H334" s="135"/>
      <c r="I334" s="135"/>
      <c r="J334" s="135"/>
      <c r="K334" s="135"/>
      <c r="L334" s="135"/>
      <c r="M334" s="135"/>
      <c r="N334" s="135"/>
      <c r="O334" s="135"/>
      <c r="P334" s="135"/>
      <c r="X334" s="135"/>
      <c r="Y334" s="135"/>
      <c r="AD334" s="135"/>
      <c r="AE334" s="135"/>
      <c r="AF334" s="135"/>
      <c r="AG334" s="135"/>
      <c r="AH334" s="135"/>
      <c r="AI334" s="135"/>
      <c r="AJ334" s="135"/>
      <c r="AK334" s="135"/>
      <c r="AL334" s="135"/>
      <c r="AM334" s="135"/>
      <c r="AN334" s="135"/>
      <c r="AO334" s="135"/>
      <c r="AP334" s="135"/>
      <c r="AQ334" s="135"/>
      <c r="AR334" s="135"/>
      <c r="AS334" s="135"/>
      <c r="AT334" s="135"/>
      <c r="AU334" s="135"/>
      <c r="AV334" s="135"/>
      <c r="AW334" s="135"/>
      <c r="AX334" s="135"/>
      <c r="AY334" s="135"/>
      <c r="AZ334" s="135"/>
      <c r="BA334" s="135"/>
      <c r="BB334" s="135"/>
      <c r="BC334" s="135"/>
      <c r="BD334" s="135"/>
      <c r="BE334" s="135"/>
      <c r="BF334" s="135"/>
      <c r="BG334" s="135"/>
      <c r="BH334" s="135"/>
      <c r="BI334" s="135"/>
      <c r="BJ334" s="135"/>
      <c r="BK334" s="135"/>
      <c r="BL334" s="135"/>
      <c r="BM334" s="135"/>
      <c r="BN334" s="135"/>
      <c r="BO334" s="135"/>
      <c r="BP334" s="135"/>
      <c r="BQ334" s="135"/>
      <c r="BR334" s="135"/>
      <c r="BS334" s="135"/>
      <c r="BT334" s="135"/>
      <c r="BU334" s="135"/>
      <c r="BV334" s="135"/>
      <c r="BW334" s="135"/>
      <c r="BX334" s="135"/>
      <c r="BY334" s="135"/>
      <c r="BZ334" s="135"/>
      <c r="CA334" s="135"/>
      <c r="CB334" s="135"/>
      <c r="CC334" s="135"/>
      <c r="CD334" s="135"/>
      <c r="CE334" s="135"/>
      <c r="CF334" s="135"/>
      <c r="CG334" s="135"/>
      <c r="CH334" s="135"/>
      <c r="CI334" s="135"/>
      <c r="CJ334" s="135"/>
      <c r="CK334" s="135"/>
      <c r="CL334" s="135"/>
      <c r="CM334" s="135"/>
      <c r="CN334" s="135"/>
      <c r="CO334" s="135"/>
      <c r="CP334" s="135"/>
      <c r="CQ334" s="135"/>
      <c r="CR334" s="135"/>
      <c r="CS334" s="135"/>
      <c r="CT334" s="135"/>
      <c r="CU334" s="135"/>
      <c r="CV334" s="135"/>
      <c r="CW334" s="135"/>
      <c r="CX334" s="136"/>
    </row>
    <row r="335" spans="2:102">
      <c r="B335" s="133"/>
      <c r="C335" s="135"/>
      <c r="D335" s="135"/>
      <c r="E335" s="135"/>
      <c r="F335" s="135"/>
      <c r="G335" s="135"/>
      <c r="H335" s="135"/>
      <c r="I335" s="135"/>
      <c r="J335" s="135"/>
      <c r="K335" s="135"/>
      <c r="L335" s="135"/>
      <c r="M335" s="135"/>
      <c r="N335" s="135" t="s">
        <v>166</v>
      </c>
      <c r="O335" s="135"/>
      <c r="Q335" s="135"/>
      <c r="R335" s="135"/>
      <c r="S335" s="135"/>
      <c r="T335" s="135"/>
      <c r="U335" s="135"/>
      <c r="V335" s="135"/>
      <c r="W335" s="135"/>
      <c r="X335" s="135"/>
      <c r="Z335" s="135"/>
      <c r="AA335" s="135"/>
      <c r="AB335" s="135"/>
      <c r="AC335" s="135"/>
      <c r="AD335" s="135"/>
      <c r="AE335" s="135"/>
      <c r="AF335" s="135"/>
      <c r="AG335" s="135"/>
      <c r="AH335" s="135"/>
      <c r="AI335" s="135"/>
      <c r="AJ335" s="135"/>
      <c r="AK335" s="135"/>
      <c r="AL335" s="135"/>
      <c r="AM335" s="135"/>
      <c r="AN335" s="135"/>
      <c r="AO335" s="135"/>
      <c r="AP335" s="135"/>
      <c r="AQ335" s="135"/>
      <c r="AR335" s="135"/>
      <c r="AS335" s="135"/>
      <c r="AT335" s="135"/>
      <c r="AU335" s="135"/>
      <c r="AV335" s="135"/>
      <c r="AW335" s="135"/>
      <c r="AX335" s="135"/>
      <c r="AY335" s="135"/>
      <c r="AZ335" s="135"/>
      <c r="BA335" s="135"/>
      <c r="BB335" s="135"/>
      <c r="BC335" s="135"/>
      <c r="BD335" s="135"/>
      <c r="BE335" s="135"/>
      <c r="BF335" s="135"/>
      <c r="BG335" s="135"/>
      <c r="BH335" s="135"/>
      <c r="BI335" s="135"/>
      <c r="BJ335" s="135"/>
      <c r="BK335" s="135"/>
      <c r="BL335" s="135"/>
      <c r="BM335" s="135"/>
      <c r="BN335" s="135"/>
      <c r="BO335" s="135"/>
      <c r="BP335" s="135"/>
      <c r="BQ335" s="135"/>
      <c r="BR335" s="135"/>
      <c r="BS335" s="135"/>
      <c r="BT335" s="135"/>
      <c r="BU335" s="135"/>
      <c r="BV335" s="135"/>
      <c r="BW335" s="135"/>
      <c r="BX335" s="135"/>
      <c r="BY335" s="135"/>
      <c r="BZ335" s="135"/>
      <c r="CA335" s="135"/>
      <c r="CB335" s="135"/>
      <c r="CC335" s="135"/>
      <c r="CD335" s="135"/>
      <c r="CE335" s="135"/>
      <c r="CF335" s="135"/>
      <c r="CG335" s="135"/>
      <c r="CH335" s="135"/>
      <c r="CI335" s="135"/>
      <c r="CJ335" s="135"/>
      <c r="CK335" s="135"/>
      <c r="CL335" s="135"/>
      <c r="CM335" s="135"/>
      <c r="CN335" s="135"/>
      <c r="CO335" s="135"/>
      <c r="CP335" s="135"/>
      <c r="CQ335" s="135"/>
      <c r="CR335" s="135"/>
      <c r="CS335" s="135"/>
      <c r="CT335" s="135"/>
      <c r="CU335" s="135"/>
      <c r="CV335" s="135"/>
      <c r="CW335" s="135"/>
      <c r="CX335" s="136"/>
    </row>
    <row r="336" spans="2:102">
      <c r="B336" s="133"/>
      <c r="C336" s="135"/>
      <c r="D336" s="135"/>
      <c r="E336" s="135"/>
      <c r="F336" s="135"/>
      <c r="G336" s="135"/>
      <c r="H336" s="135"/>
      <c r="I336" s="135"/>
      <c r="J336" s="135"/>
      <c r="K336" s="135"/>
      <c r="L336" s="135"/>
      <c r="M336" s="135"/>
      <c r="N336" s="135"/>
      <c r="O336" s="135"/>
      <c r="P336" s="138" t="s">
        <v>167</v>
      </c>
      <c r="Q336" s="135"/>
      <c r="R336" s="135"/>
      <c r="S336" s="135"/>
      <c r="T336" s="135"/>
      <c r="U336" s="135"/>
      <c r="V336" s="135"/>
      <c r="W336" s="135"/>
      <c r="X336" s="135"/>
      <c r="Y336" s="138"/>
      <c r="Z336" s="135"/>
      <c r="AA336" s="135"/>
      <c r="AB336" s="135"/>
      <c r="AC336" s="135"/>
      <c r="AD336" s="135"/>
      <c r="AE336" s="135"/>
      <c r="AF336" s="135"/>
      <c r="AG336" s="135"/>
      <c r="AH336" s="135"/>
      <c r="AI336" s="135"/>
      <c r="AJ336" s="135"/>
      <c r="AK336" s="135"/>
      <c r="AL336" s="135"/>
      <c r="AM336" s="135"/>
      <c r="AN336" s="135"/>
      <c r="AO336" s="135"/>
      <c r="AP336" s="135"/>
      <c r="AQ336" s="135"/>
      <c r="AR336" s="135"/>
      <c r="AS336" s="135"/>
      <c r="AT336" s="135"/>
      <c r="AU336" s="135"/>
      <c r="AV336" s="135"/>
      <c r="AW336" s="135"/>
      <c r="AX336" s="135"/>
      <c r="AY336" s="135"/>
      <c r="AZ336" s="135"/>
      <c r="BA336" s="135"/>
      <c r="BB336" s="135"/>
      <c r="BC336" s="135"/>
      <c r="BD336" s="135"/>
      <c r="BE336" s="135"/>
      <c r="BF336" s="135"/>
      <c r="BG336" s="135"/>
      <c r="BH336" s="135"/>
      <c r="BI336" s="135"/>
      <c r="BJ336" s="135"/>
      <c r="BK336" s="135"/>
      <c r="BL336" s="135"/>
      <c r="BM336" s="135"/>
      <c r="BN336" s="135"/>
      <c r="BO336" s="135"/>
      <c r="BP336" s="135"/>
      <c r="BQ336" s="135"/>
      <c r="BR336" s="135"/>
      <c r="BS336" s="135"/>
      <c r="BT336" s="135"/>
      <c r="BU336" s="135"/>
      <c r="BV336" s="135"/>
      <c r="BW336" s="135"/>
      <c r="BX336" s="135"/>
      <c r="BY336" s="135"/>
      <c r="BZ336" s="135"/>
      <c r="CA336" s="135"/>
      <c r="CB336" s="135"/>
      <c r="CC336" s="135"/>
      <c r="CD336" s="135"/>
      <c r="CE336" s="135"/>
      <c r="CF336" s="135"/>
      <c r="CG336" s="135"/>
      <c r="CH336" s="135"/>
      <c r="CI336" s="135"/>
      <c r="CJ336" s="135"/>
      <c r="CK336" s="135"/>
      <c r="CL336" s="135"/>
      <c r="CM336" s="135"/>
      <c r="CN336" s="135"/>
      <c r="CO336" s="135"/>
      <c r="CP336" s="135"/>
      <c r="CQ336" s="135"/>
      <c r="CR336" s="135"/>
      <c r="CS336" s="135"/>
      <c r="CT336" s="135"/>
      <c r="CU336" s="135"/>
      <c r="CV336" s="135"/>
      <c r="CW336" s="135"/>
      <c r="CX336" s="136"/>
    </row>
    <row r="337" spans="2:102">
      <c r="B337" s="133"/>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c r="AB337" s="135"/>
      <c r="AC337" s="135"/>
      <c r="AD337" s="135"/>
      <c r="AE337" s="145" t="s">
        <v>168</v>
      </c>
      <c r="AF337" s="135"/>
      <c r="AG337" s="135"/>
      <c r="AH337" s="135"/>
      <c r="AI337" s="135"/>
      <c r="AJ337" s="135"/>
      <c r="AK337" s="135"/>
      <c r="AL337" s="135"/>
      <c r="AM337" s="135"/>
      <c r="AN337" s="135"/>
      <c r="AO337" s="135"/>
      <c r="AP337" s="135"/>
      <c r="AQ337" s="135"/>
      <c r="AR337" s="135"/>
      <c r="AS337" s="135"/>
      <c r="AT337" s="135"/>
      <c r="AU337" s="135"/>
      <c r="AV337" s="135"/>
      <c r="AW337" s="135"/>
      <c r="AX337" s="135"/>
      <c r="AY337" s="135"/>
      <c r="AZ337" s="135"/>
      <c r="BA337" s="135"/>
      <c r="BB337" s="135"/>
      <c r="BC337" s="135"/>
      <c r="BD337" s="135"/>
      <c r="BE337" s="135"/>
      <c r="BF337" s="135"/>
      <c r="BG337" s="135"/>
      <c r="BH337" s="135"/>
      <c r="BI337" s="135"/>
      <c r="BJ337" s="135"/>
      <c r="BK337" s="135"/>
      <c r="BL337" s="135"/>
      <c r="BM337" s="135"/>
      <c r="BN337" s="135"/>
      <c r="BO337" s="135"/>
      <c r="BP337" s="135"/>
      <c r="BQ337" s="135"/>
      <c r="BR337" s="135"/>
      <c r="BS337" s="135"/>
      <c r="BT337" s="135"/>
      <c r="BU337" s="135"/>
      <c r="BV337" s="135"/>
      <c r="BW337" s="135"/>
      <c r="BX337" s="135"/>
      <c r="BY337" s="135"/>
      <c r="BZ337" s="135"/>
      <c r="CA337" s="145" t="s">
        <v>169</v>
      </c>
      <c r="CB337" s="135"/>
      <c r="CC337" s="135"/>
      <c r="CD337" s="135"/>
      <c r="CE337" s="135"/>
      <c r="CF337" s="135"/>
      <c r="CG337" s="135"/>
      <c r="CH337" s="135"/>
      <c r="CI337" s="135"/>
      <c r="CJ337" s="135"/>
      <c r="CK337" s="135"/>
      <c r="CL337" s="135"/>
      <c r="CM337" s="135"/>
      <c r="CN337" s="135"/>
      <c r="CO337" s="135"/>
      <c r="CP337" s="135"/>
      <c r="CQ337" s="135"/>
      <c r="CR337" s="135"/>
      <c r="CS337" s="135"/>
      <c r="CT337" s="135"/>
      <c r="CU337" s="135"/>
      <c r="CV337" s="135"/>
      <c r="CW337" s="135"/>
      <c r="CX337" s="136"/>
    </row>
    <row r="338" spans="2:102">
      <c r="B338" s="133"/>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35"/>
      <c r="AZ338" s="135"/>
      <c r="BA338" s="135"/>
      <c r="BB338" s="135"/>
      <c r="BC338" s="135"/>
      <c r="BD338" s="135"/>
      <c r="BE338" s="135"/>
      <c r="BF338" s="135"/>
      <c r="BG338" s="135"/>
      <c r="BH338" s="135"/>
      <c r="BI338" s="135"/>
      <c r="BJ338" s="135"/>
      <c r="BK338" s="135"/>
      <c r="BL338" s="135"/>
      <c r="BM338" s="135"/>
      <c r="BN338" s="135"/>
      <c r="BO338" s="135"/>
      <c r="BP338" s="135"/>
      <c r="BQ338" s="135"/>
      <c r="BR338" s="135"/>
      <c r="BS338" s="135"/>
      <c r="BT338" s="135"/>
      <c r="BU338" s="135"/>
      <c r="BV338" s="135"/>
      <c r="BW338" s="135"/>
      <c r="BX338" s="135"/>
      <c r="BY338" s="135"/>
      <c r="BZ338" s="135"/>
      <c r="CA338" s="135"/>
      <c r="CB338" s="135"/>
      <c r="CC338" s="135"/>
      <c r="CD338" s="135"/>
      <c r="CE338" s="135"/>
      <c r="CF338" s="135"/>
      <c r="CG338" s="135"/>
      <c r="CH338" s="135"/>
      <c r="CI338" s="135"/>
      <c r="CJ338" s="135"/>
      <c r="CK338" s="135"/>
      <c r="CL338" s="135"/>
      <c r="CM338" s="135"/>
      <c r="CN338" s="135"/>
      <c r="CO338" s="135"/>
      <c r="CP338" s="135"/>
      <c r="CQ338" s="135"/>
      <c r="CR338" s="135"/>
      <c r="CS338" s="135"/>
      <c r="CT338" s="135"/>
      <c r="CU338" s="135"/>
      <c r="CV338" s="135"/>
      <c r="CW338" s="135"/>
      <c r="CX338" s="136"/>
    </row>
    <row r="339" spans="2:102">
      <c r="B339" s="133"/>
      <c r="C339" s="135"/>
      <c r="D339" s="135"/>
      <c r="E339" s="135"/>
      <c r="F339" s="135"/>
      <c r="G339" s="135"/>
      <c r="H339" s="135"/>
      <c r="I339" s="135"/>
      <c r="J339" s="135"/>
      <c r="K339" s="135"/>
      <c r="L339" s="135"/>
      <c r="M339" s="135"/>
      <c r="N339" s="135"/>
      <c r="O339" s="135"/>
      <c r="P339" s="135"/>
      <c r="X339" s="135"/>
      <c r="Y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35"/>
      <c r="AZ339" s="135"/>
      <c r="BA339" s="135"/>
      <c r="BB339" s="135"/>
      <c r="BC339" s="135"/>
      <c r="BD339" s="135"/>
      <c r="BE339" s="135"/>
      <c r="BF339" s="135"/>
      <c r="BG339" s="135"/>
      <c r="BH339" s="135"/>
      <c r="BI339" s="135"/>
      <c r="BJ339" s="135"/>
      <c r="BK339" s="135"/>
      <c r="BL339" s="135"/>
      <c r="BM339" s="135"/>
      <c r="BN339" s="135"/>
      <c r="BO339" s="135"/>
      <c r="BP339" s="135"/>
      <c r="BQ339" s="135"/>
      <c r="BR339" s="135"/>
      <c r="BS339" s="135"/>
      <c r="BT339" s="135"/>
      <c r="BU339" s="135"/>
      <c r="BV339" s="135"/>
      <c r="BW339" s="135"/>
      <c r="BX339" s="135"/>
      <c r="BY339" s="135"/>
      <c r="BZ339" s="135"/>
      <c r="CA339" s="135"/>
      <c r="CB339" s="135"/>
      <c r="CC339" s="135"/>
      <c r="CD339" s="135"/>
      <c r="CE339" s="135"/>
      <c r="CF339" s="135"/>
      <c r="CG339" s="135"/>
      <c r="CH339" s="135"/>
      <c r="CI339" s="135"/>
      <c r="CJ339" s="135"/>
      <c r="CK339" s="135"/>
      <c r="CL339" s="135"/>
      <c r="CM339" s="135"/>
      <c r="CN339" s="135"/>
      <c r="CO339" s="135"/>
      <c r="CP339" s="135"/>
      <c r="CQ339" s="135"/>
      <c r="CR339" s="135"/>
      <c r="CS339" s="135"/>
      <c r="CT339" s="135"/>
      <c r="CU339" s="135"/>
      <c r="CV339" s="135"/>
      <c r="CW339" s="135"/>
      <c r="CX339" s="136"/>
    </row>
    <row r="340" spans="2:102">
      <c r="B340" s="133"/>
      <c r="C340" s="135"/>
      <c r="D340" s="135"/>
      <c r="E340" s="135"/>
      <c r="F340" s="135"/>
      <c r="G340" s="135"/>
      <c r="H340" s="135"/>
      <c r="I340" s="135"/>
      <c r="J340" s="135"/>
      <c r="K340" s="135"/>
      <c r="L340" s="135"/>
      <c r="M340" s="135"/>
      <c r="N340" s="135"/>
      <c r="O340" s="135"/>
      <c r="P340" s="135"/>
      <c r="X340" s="135"/>
      <c r="Y340" s="135"/>
      <c r="AD340" s="135"/>
      <c r="AE340" s="135"/>
      <c r="AF340" s="135"/>
      <c r="AG340" s="135"/>
      <c r="AH340" s="135"/>
      <c r="AI340" s="135"/>
      <c r="AJ340" s="135"/>
      <c r="AK340" s="135"/>
      <c r="AL340" s="135"/>
      <c r="AM340" s="135"/>
      <c r="AN340" s="135"/>
      <c r="AO340" s="135"/>
      <c r="AP340" s="135"/>
      <c r="AQ340" s="135"/>
      <c r="AR340" s="135"/>
      <c r="AS340" s="135"/>
      <c r="AT340" s="135"/>
      <c r="AU340" s="135"/>
      <c r="AV340" s="135"/>
      <c r="AW340" s="135"/>
      <c r="AX340" s="135"/>
      <c r="AY340" s="135"/>
      <c r="AZ340" s="135"/>
      <c r="BA340" s="135"/>
      <c r="BB340" s="135"/>
      <c r="BC340" s="135"/>
      <c r="BD340" s="135"/>
      <c r="BE340" s="135"/>
      <c r="BF340" s="135"/>
      <c r="BG340" s="135"/>
      <c r="BH340" s="135"/>
      <c r="BI340" s="135"/>
      <c r="BJ340" s="135"/>
      <c r="BK340" s="135"/>
      <c r="BL340" s="135"/>
      <c r="BM340" s="135"/>
      <c r="BN340" s="135"/>
      <c r="BO340" s="135"/>
      <c r="BP340" s="135"/>
      <c r="BQ340" s="135"/>
      <c r="BR340" s="135"/>
      <c r="BS340" s="135"/>
      <c r="BT340" s="135"/>
      <c r="BU340" s="135"/>
      <c r="BV340" s="135"/>
      <c r="BW340" s="135"/>
      <c r="BX340" s="135"/>
      <c r="BY340" s="135"/>
      <c r="BZ340" s="135"/>
      <c r="CA340" s="135"/>
      <c r="CB340" s="135"/>
      <c r="CC340" s="135"/>
      <c r="CD340" s="135"/>
      <c r="CE340" s="135"/>
      <c r="CF340" s="135"/>
      <c r="CG340" s="135"/>
      <c r="CH340" s="135"/>
      <c r="CI340" s="135"/>
      <c r="CJ340" s="135"/>
      <c r="CK340" s="135"/>
      <c r="CL340" s="135"/>
      <c r="CM340" s="135"/>
      <c r="CN340" s="135"/>
      <c r="CO340" s="135"/>
      <c r="CP340" s="135"/>
      <c r="CQ340" s="135"/>
      <c r="CR340" s="135"/>
      <c r="CS340" s="135"/>
      <c r="CT340" s="135"/>
      <c r="CU340" s="135"/>
      <c r="CV340" s="135"/>
      <c r="CW340" s="135"/>
      <c r="CX340" s="136"/>
    </row>
    <row r="341" spans="2:102">
      <c r="B341" s="133"/>
      <c r="C341" s="135"/>
      <c r="D341" s="135"/>
      <c r="E341" s="135"/>
      <c r="F341" s="135"/>
      <c r="G341" s="135"/>
      <c r="H341" s="135"/>
      <c r="I341" s="135"/>
      <c r="J341" s="135"/>
      <c r="K341" s="135"/>
      <c r="L341" s="135"/>
      <c r="M341" s="135"/>
      <c r="N341" s="135"/>
      <c r="O341" s="135"/>
      <c r="P341" s="135"/>
      <c r="X341" s="135"/>
      <c r="Y341" s="135"/>
      <c r="AD341" s="135"/>
      <c r="AE341" s="135"/>
      <c r="AF341" s="135"/>
      <c r="AG341" s="135"/>
      <c r="AH341" s="135"/>
      <c r="AI341" s="135"/>
      <c r="AJ341" s="135"/>
      <c r="AK341" s="135"/>
      <c r="AL341" s="135"/>
      <c r="AM341" s="135"/>
      <c r="AN341" s="135"/>
      <c r="AO341" s="135"/>
      <c r="AP341" s="135"/>
      <c r="AQ341" s="135"/>
      <c r="AR341" s="135"/>
      <c r="AS341" s="135"/>
      <c r="AT341" s="135"/>
      <c r="AU341" s="135"/>
      <c r="AV341" s="135"/>
      <c r="AW341" s="135"/>
      <c r="AX341" s="135"/>
      <c r="AY341" s="135"/>
      <c r="AZ341" s="135"/>
      <c r="BA341" s="135"/>
      <c r="BB341" s="135"/>
      <c r="BC341" s="135"/>
      <c r="BD341" s="135"/>
      <c r="BE341" s="135"/>
      <c r="BF341" s="135"/>
      <c r="BG341" s="135"/>
      <c r="BH341" s="135"/>
      <c r="BI341" s="135"/>
      <c r="BJ341" s="135"/>
      <c r="BK341" s="135"/>
      <c r="BL341" s="135"/>
      <c r="BM341" s="135"/>
      <c r="BN341" s="135"/>
      <c r="BO341" s="135"/>
      <c r="BP341" s="135"/>
      <c r="BQ341" s="135"/>
      <c r="BR341" s="135"/>
      <c r="BS341" s="135"/>
      <c r="BT341" s="135"/>
      <c r="BU341" s="135"/>
      <c r="BV341" s="135"/>
      <c r="BW341" s="135"/>
      <c r="BX341" s="135"/>
      <c r="BY341" s="135"/>
      <c r="BZ341" s="135"/>
      <c r="CA341" s="135"/>
      <c r="CB341" s="135"/>
      <c r="CC341" s="135"/>
      <c r="CD341" s="135"/>
      <c r="CE341" s="135"/>
      <c r="CF341" s="135"/>
      <c r="CG341" s="135"/>
      <c r="CH341" s="135"/>
      <c r="CI341" s="135"/>
      <c r="CJ341" s="135"/>
      <c r="CK341" s="135"/>
      <c r="CL341" s="135"/>
      <c r="CM341" s="135"/>
      <c r="CN341" s="135"/>
      <c r="CO341" s="135"/>
      <c r="CP341" s="135"/>
      <c r="CQ341" s="135"/>
      <c r="CR341" s="135"/>
      <c r="CS341" s="135"/>
      <c r="CT341" s="135"/>
      <c r="CU341" s="135"/>
      <c r="CV341" s="135"/>
      <c r="CW341" s="135"/>
      <c r="CX341" s="136"/>
    </row>
    <row r="342" spans="2:102">
      <c r="B342" s="133"/>
      <c r="C342" s="135"/>
      <c r="D342" s="135"/>
      <c r="E342" s="135"/>
      <c r="F342" s="135"/>
      <c r="G342" s="135"/>
      <c r="H342" s="135"/>
      <c r="I342" s="135"/>
      <c r="J342" s="135"/>
      <c r="K342" s="135"/>
      <c r="L342" s="135"/>
      <c r="M342" s="135"/>
      <c r="N342" s="135"/>
      <c r="O342" s="135"/>
      <c r="P342" s="135"/>
      <c r="X342" s="135"/>
      <c r="Y342" s="135"/>
      <c r="AD342" s="135"/>
      <c r="AE342" s="135"/>
      <c r="AF342" s="135"/>
      <c r="AG342" s="135"/>
      <c r="AH342" s="135"/>
      <c r="AI342" s="135"/>
      <c r="AJ342" s="135"/>
      <c r="AK342" s="135"/>
      <c r="AL342" s="135"/>
      <c r="AM342" s="135"/>
      <c r="AN342" s="135"/>
      <c r="AO342" s="135"/>
      <c r="AP342" s="135"/>
      <c r="AQ342" s="135"/>
      <c r="AR342" s="135"/>
      <c r="AS342" s="135"/>
      <c r="AT342" s="135"/>
      <c r="AU342" s="135"/>
      <c r="AV342" s="135"/>
      <c r="AW342" s="135"/>
      <c r="AX342" s="135"/>
      <c r="AY342" s="135"/>
      <c r="AZ342" s="135"/>
      <c r="BA342" s="135"/>
      <c r="BB342" s="135"/>
      <c r="BC342" s="135"/>
      <c r="BD342" s="135"/>
      <c r="BE342" s="135"/>
      <c r="BF342" s="135"/>
      <c r="BG342" s="135"/>
      <c r="BH342" s="135"/>
      <c r="BI342" s="135"/>
      <c r="BJ342" s="135"/>
      <c r="BK342" s="135"/>
      <c r="BL342" s="135"/>
      <c r="BM342" s="135"/>
      <c r="BN342" s="135"/>
      <c r="BO342" s="135"/>
      <c r="BP342" s="135"/>
      <c r="BQ342" s="135"/>
      <c r="BR342" s="135"/>
      <c r="BS342" s="135"/>
      <c r="BT342" s="135"/>
      <c r="BU342" s="135"/>
      <c r="BV342" s="135"/>
      <c r="BW342" s="135"/>
      <c r="BX342" s="135"/>
      <c r="BY342" s="135"/>
      <c r="BZ342" s="135"/>
      <c r="CA342" s="135"/>
      <c r="CB342" s="135"/>
      <c r="CC342" s="135"/>
      <c r="CD342" s="135"/>
      <c r="CE342" s="135"/>
      <c r="CF342" s="135"/>
      <c r="CG342" s="135"/>
      <c r="CH342" s="135"/>
      <c r="CI342" s="135"/>
      <c r="CJ342" s="135"/>
      <c r="CK342" s="135"/>
      <c r="CL342" s="135"/>
      <c r="CM342" s="135"/>
      <c r="CN342" s="135"/>
      <c r="CO342" s="135"/>
      <c r="CP342" s="135"/>
      <c r="CQ342" s="135"/>
      <c r="CR342" s="135"/>
      <c r="CS342" s="135"/>
      <c r="CT342" s="135"/>
      <c r="CU342" s="135"/>
      <c r="CV342" s="135"/>
      <c r="CW342" s="135"/>
      <c r="CX342" s="136"/>
    </row>
    <row r="343" spans="2:102">
      <c r="B343" s="133"/>
      <c r="C343" s="135"/>
      <c r="D343" s="135"/>
      <c r="E343" s="135"/>
      <c r="F343" s="135"/>
      <c r="G343" s="135"/>
      <c r="H343" s="135"/>
      <c r="I343" s="135"/>
      <c r="J343" s="135"/>
      <c r="K343" s="135"/>
      <c r="L343" s="135"/>
      <c r="M343" s="135"/>
      <c r="N343" s="135"/>
      <c r="O343" s="135"/>
      <c r="P343" s="135"/>
      <c r="X343" s="135"/>
      <c r="Y343" s="135"/>
      <c r="AD343" s="135"/>
      <c r="AE343" s="135"/>
      <c r="AF343" s="135"/>
      <c r="AG343" s="135"/>
      <c r="AH343" s="135"/>
      <c r="AI343" s="135"/>
      <c r="AJ343" s="135"/>
      <c r="AK343" s="135"/>
      <c r="AL343" s="135"/>
      <c r="AM343" s="135"/>
      <c r="AN343" s="135"/>
      <c r="AO343" s="135"/>
      <c r="AP343" s="135"/>
      <c r="AQ343" s="135"/>
      <c r="AR343" s="135"/>
      <c r="AS343" s="135"/>
      <c r="AT343" s="135"/>
      <c r="AU343" s="135"/>
      <c r="AV343" s="135"/>
      <c r="AW343" s="135"/>
      <c r="AX343" s="135"/>
      <c r="AY343" s="135"/>
      <c r="AZ343" s="135"/>
      <c r="BA343" s="135"/>
      <c r="BB343" s="135"/>
      <c r="BC343" s="135"/>
      <c r="BD343" s="135"/>
      <c r="BE343" s="135"/>
      <c r="BF343" s="135"/>
      <c r="BG343" s="135"/>
      <c r="BH343" s="135"/>
      <c r="BI343" s="135"/>
      <c r="BJ343" s="135"/>
      <c r="BK343" s="135"/>
      <c r="BL343" s="135"/>
      <c r="BM343" s="135"/>
      <c r="BN343" s="135"/>
      <c r="BO343" s="135"/>
      <c r="BP343" s="135"/>
      <c r="BQ343" s="135"/>
      <c r="BR343" s="135"/>
      <c r="BS343" s="135"/>
      <c r="BT343" s="135"/>
      <c r="BU343" s="135"/>
      <c r="BV343" s="135"/>
      <c r="BW343" s="135"/>
      <c r="BX343" s="135"/>
      <c r="BY343" s="135"/>
      <c r="BZ343" s="135"/>
      <c r="CA343" s="135"/>
      <c r="CB343" s="135"/>
      <c r="CC343" s="135"/>
      <c r="CD343" s="135"/>
      <c r="CE343" s="135"/>
      <c r="CF343" s="135"/>
      <c r="CG343" s="135"/>
      <c r="CH343" s="135"/>
      <c r="CI343" s="135"/>
      <c r="CJ343" s="135"/>
      <c r="CK343" s="135"/>
      <c r="CL343" s="135"/>
      <c r="CM343" s="135"/>
      <c r="CN343" s="135"/>
      <c r="CO343" s="135"/>
      <c r="CP343" s="135"/>
      <c r="CQ343" s="135"/>
      <c r="CR343" s="135"/>
      <c r="CS343" s="135"/>
      <c r="CT343" s="135"/>
      <c r="CU343" s="135"/>
      <c r="CV343" s="135"/>
      <c r="CW343" s="135"/>
      <c r="CX343" s="136"/>
    </row>
    <row r="344" spans="2:102">
      <c r="B344" s="133"/>
      <c r="C344" s="135"/>
      <c r="D344" s="135"/>
      <c r="E344" s="135"/>
      <c r="F344" s="135"/>
      <c r="G344" s="135"/>
      <c r="H344" s="135"/>
      <c r="I344" s="135"/>
      <c r="J344" s="135"/>
      <c r="K344" s="135"/>
      <c r="L344" s="135"/>
      <c r="M344" s="135"/>
      <c r="N344" s="135"/>
      <c r="O344" s="135"/>
      <c r="P344" s="135"/>
      <c r="X344" s="135"/>
      <c r="Y344" s="135"/>
      <c r="AD344" s="135"/>
      <c r="AE344" s="135"/>
      <c r="AF344" s="135"/>
      <c r="AG344" s="135"/>
      <c r="AH344" s="135"/>
      <c r="AI344" s="135"/>
      <c r="AJ344" s="135"/>
      <c r="AK344" s="135"/>
      <c r="AL344" s="135"/>
      <c r="AM344" s="135"/>
      <c r="AN344" s="135"/>
      <c r="AO344" s="135"/>
      <c r="AP344" s="135"/>
      <c r="AQ344" s="135"/>
      <c r="AR344" s="135"/>
      <c r="AS344" s="135"/>
      <c r="AT344" s="135"/>
      <c r="AU344" s="135"/>
      <c r="AV344" s="135"/>
      <c r="AW344" s="135"/>
      <c r="AX344" s="135"/>
      <c r="AY344" s="135"/>
      <c r="AZ344" s="135"/>
      <c r="BA344" s="135"/>
      <c r="BB344" s="135"/>
      <c r="BC344" s="135"/>
      <c r="BD344" s="135"/>
      <c r="BE344" s="135"/>
      <c r="BF344" s="135"/>
      <c r="BG344" s="135"/>
      <c r="BH344" s="135"/>
      <c r="BI344" s="135"/>
      <c r="BJ344" s="135"/>
      <c r="BK344" s="135"/>
      <c r="BL344" s="135"/>
      <c r="BM344" s="135"/>
      <c r="BN344" s="135"/>
      <c r="BO344" s="135"/>
      <c r="BP344" s="135"/>
      <c r="BQ344" s="135"/>
      <c r="BR344" s="135"/>
      <c r="BS344" s="135"/>
      <c r="BT344" s="135"/>
      <c r="BU344" s="135"/>
      <c r="BV344" s="135"/>
      <c r="BW344" s="135"/>
      <c r="BX344" s="135"/>
      <c r="BY344" s="135"/>
      <c r="BZ344" s="135"/>
      <c r="CA344" s="135"/>
      <c r="CB344" s="135"/>
      <c r="CC344" s="135"/>
      <c r="CD344" s="135"/>
      <c r="CE344" s="135"/>
      <c r="CF344" s="135"/>
      <c r="CG344" s="135"/>
      <c r="CH344" s="135"/>
      <c r="CI344" s="135"/>
      <c r="CJ344" s="135"/>
      <c r="CK344" s="135"/>
      <c r="CL344" s="135"/>
      <c r="CM344" s="135"/>
      <c r="CN344" s="135"/>
      <c r="CO344" s="135"/>
      <c r="CP344" s="135"/>
      <c r="CQ344" s="135"/>
      <c r="CR344" s="135"/>
      <c r="CS344" s="135"/>
      <c r="CT344" s="135"/>
      <c r="CU344" s="135"/>
      <c r="CV344" s="135"/>
      <c r="CW344" s="135"/>
      <c r="CX344" s="136"/>
    </row>
    <row r="345" spans="2:102">
      <c r="B345" s="133"/>
      <c r="C345" s="135"/>
      <c r="D345" s="135"/>
      <c r="E345" s="135"/>
      <c r="F345" s="135"/>
      <c r="G345" s="135"/>
      <c r="H345" s="135" t="s">
        <v>172</v>
      </c>
      <c r="I345" s="135"/>
      <c r="J345" s="135"/>
      <c r="K345" s="135"/>
      <c r="L345" s="135"/>
      <c r="M345" s="135"/>
      <c r="N345" s="135" t="s">
        <v>173</v>
      </c>
      <c r="O345" s="135"/>
      <c r="P345" s="135"/>
      <c r="S345" s="135"/>
      <c r="T345" s="135"/>
      <c r="U345" s="135"/>
      <c r="V345" s="135"/>
      <c r="W345" s="135"/>
      <c r="AB345" s="135"/>
      <c r="AC345" s="135"/>
      <c r="AD345" s="135"/>
      <c r="AE345" s="135"/>
      <c r="AF345" s="135"/>
      <c r="AG345" s="135"/>
      <c r="AH345" s="135"/>
      <c r="AI345" s="135"/>
      <c r="AJ345" s="135"/>
      <c r="AK345" s="135"/>
      <c r="AL345" s="135"/>
      <c r="AM345" s="135"/>
      <c r="AN345" s="135"/>
      <c r="AO345" s="135"/>
      <c r="AP345" s="135"/>
      <c r="AQ345" s="135"/>
      <c r="AR345" s="135"/>
      <c r="AS345" s="135"/>
      <c r="AT345" s="135"/>
      <c r="AU345" s="135"/>
      <c r="AV345" s="135"/>
      <c r="AW345" s="135"/>
      <c r="AX345" s="135"/>
      <c r="AY345" s="135"/>
      <c r="AZ345" s="135"/>
      <c r="BA345" s="135"/>
      <c r="BB345" s="135"/>
      <c r="BC345" s="135"/>
      <c r="BD345" s="135"/>
      <c r="BE345" s="135"/>
      <c r="BF345" s="135"/>
      <c r="BG345" s="135"/>
      <c r="BH345" s="135"/>
      <c r="BI345" s="135"/>
      <c r="BJ345" s="135"/>
      <c r="BK345" s="135"/>
      <c r="BL345" s="135"/>
      <c r="BM345" s="135"/>
      <c r="BN345" s="135"/>
      <c r="BO345" s="135"/>
      <c r="BP345" s="135"/>
      <c r="BQ345" s="135"/>
      <c r="BR345" s="135"/>
      <c r="BS345" s="135"/>
      <c r="BT345" s="135"/>
      <c r="BU345" s="135"/>
      <c r="BV345" s="135"/>
      <c r="BW345" s="135"/>
      <c r="BX345" s="135"/>
      <c r="BY345" s="135"/>
      <c r="BZ345" s="135"/>
      <c r="CA345" s="135"/>
      <c r="CB345" s="135"/>
      <c r="CC345" s="135"/>
      <c r="CD345" s="135"/>
      <c r="CE345" s="135"/>
      <c r="CF345" s="135"/>
      <c r="CG345" s="135"/>
      <c r="CH345" s="135"/>
      <c r="CI345" s="135"/>
      <c r="CJ345" s="135"/>
      <c r="CK345" s="135"/>
      <c r="CL345" s="135"/>
      <c r="CM345" s="135"/>
      <c r="CN345" s="135"/>
      <c r="CO345" s="135"/>
      <c r="CP345" s="135"/>
      <c r="CQ345" s="135"/>
      <c r="CR345" s="135"/>
      <c r="CS345" s="135"/>
      <c r="CT345" s="135"/>
      <c r="CU345" s="135"/>
      <c r="CV345" s="135"/>
      <c r="CW345" s="135"/>
      <c r="CX345" s="136"/>
    </row>
    <row r="346" spans="2:102">
      <c r="B346" s="133"/>
      <c r="C346" s="135"/>
      <c r="D346" s="135"/>
      <c r="E346" s="135"/>
      <c r="F346" s="135"/>
      <c r="G346" s="135"/>
      <c r="N346" s="143" t="s">
        <v>174</v>
      </c>
      <c r="V346" s="135"/>
      <c r="W346" s="135"/>
      <c r="X346" s="135"/>
      <c r="Y346" s="135"/>
      <c r="Z346" s="135"/>
      <c r="AB346" s="135"/>
      <c r="AC346" s="135"/>
      <c r="AD346" s="135"/>
      <c r="AE346" s="135"/>
      <c r="AF346" s="135"/>
      <c r="AG346" s="135"/>
      <c r="AH346" s="135"/>
      <c r="AI346" s="135"/>
      <c r="AJ346" s="135"/>
      <c r="AK346" s="135"/>
      <c r="AL346" s="135"/>
      <c r="AM346" s="135"/>
      <c r="AN346" s="135"/>
      <c r="AO346" s="135"/>
      <c r="AP346" s="135"/>
      <c r="AQ346" s="135"/>
      <c r="AR346" s="135"/>
      <c r="AS346" s="135"/>
      <c r="AT346" s="135"/>
      <c r="AU346" s="135"/>
      <c r="AV346" s="135"/>
      <c r="AW346" s="135"/>
      <c r="AX346" s="135"/>
      <c r="AY346" s="135"/>
      <c r="AZ346" s="135"/>
      <c r="BA346" s="135"/>
      <c r="BB346" s="135"/>
      <c r="BC346" s="135"/>
      <c r="BD346" s="135"/>
      <c r="BE346" s="135"/>
      <c r="BF346" s="135"/>
      <c r="BG346" s="135"/>
      <c r="BH346" s="135"/>
      <c r="BI346" s="135"/>
      <c r="BJ346" s="135"/>
      <c r="BK346" s="135"/>
      <c r="BL346" s="135"/>
      <c r="BM346" s="135"/>
      <c r="BN346" s="135"/>
      <c r="BO346" s="135"/>
      <c r="BP346" s="135"/>
      <c r="BQ346" s="135"/>
      <c r="BR346" s="135"/>
      <c r="BS346" s="135"/>
      <c r="BT346" s="135"/>
      <c r="BU346" s="135"/>
      <c r="BV346" s="135"/>
      <c r="BW346" s="135"/>
      <c r="BX346" s="135"/>
      <c r="BY346" s="135"/>
      <c r="BZ346" s="135"/>
      <c r="CA346" s="135"/>
      <c r="CB346" s="135"/>
      <c r="CC346" s="135"/>
      <c r="CD346" s="135"/>
      <c r="CE346" s="135"/>
      <c r="CF346" s="135"/>
      <c r="CG346" s="135"/>
      <c r="CH346" s="135"/>
      <c r="CI346" s="135"/>
      <c r="CJ346" s="135"/>
      <c r="CK346" s="135"/>
      <c r="CL346" s="135"/>
      <c r="CM346" s="135"/>
      <c r="CN346" s="135"/>
      <c r="CO346" s="135"/>
      <c r="CP346" s="135"/>
      <c r="CQ346" s="135"/>
      <c r="CR346" s="135"/>
      <c r="CS346" s="135"/>
      <c r="CT346" s="135"/>
      <c r="CU346" s="135"/>
      <c r="CV346" s="135"/>
      <c r="CW346" s="135"/>
      <c r="CX346" s="136"/>
    </row>
    <row r="347" spans="2:102">
      <c r="B347" s="133"/>
      <c r="C347" s="135"/>
      <c r="D347" s="135"/>
      <c r="E347" s="135"/>
      <c r="F347" s="135"/>
      <c r="G347" s="135"/>
      <c r="O347" s="103" t="s">
        <v>175</v>
      </c>
      <c r="V347" s="135"/>
      <c r="W347" s="135"/>
      <c r="X347" s="135"/>
      <c r="Y347" s="135"/>
      <c r="AB347" s="135"/>
      <c r="AC347" s="135"/>
      <c r="AD347" s="135"/>
      <c r="AE347" s="135"/>
      <c r="AF347" s="135"/>
      <c r="AG347" s="135"/>
      <c r="AH347" s="135"/>
      <c r="AI347" s="135"/>
      <c r="AJ347" s="135"/>
      <c r="AK347" s="135"/>
      <c r="AL347" s="135"/>
      <c r="AM347" s="135"/>
      <c r="AN347" s="135"/>
      <c r="AO347" s="135"/>
      <c r="AP347" s="135"/>
      <c r="AQ347" s="135"/>
      <c r="AR347" s="135"/>
      <c r="AS347" s="135"/>
      <c r="AT347" s="135"/>
      <c r="AU347" s="135"/>
      <c r="AV347" s="135"/>
      <c r="AW347" s="135"/>
      <c r="AX347" s="135"/>
      <c r="AY347" s="135"/>
      <c r="AZ347" s="135"/>
      <c r="BA347" s="135"/>
      <c r="BB347" s="135"/>
      <c r="BC347" s="135"/>
      <c r="BD347" s="135"/>
      <c r="BE347" s="135"/>
      <c r="BF347" s="135"/>
      <c r="BG347" s="135"/>
      <c r="BH347" s="135"/>
      <c r="BI347" s="135"/>
      <c r="BJ347" s="135"/>
      <c r="BK347" s="135"/>
      <c r="BL347" s="135"/>
      <c r="BM347" s="135"/>
      <c r="BN347" s="135"/>
      <c r="BO347" s="135"/>
      <c r="BP347" s="135"/>
      <c r="BQ347" s="135"/>
      <c r="BR347" s="135"/>
      <c r="BS347" s="135"/>
      <c r="BT347" s="135"/>
      <c r="BU347" s="135"/>
      <c r="BV347" s="135"/>
      <c r="BW347" s="135"/>
      <c r="BX347" s="135"/>
      <c r="BY347" s="135"/>
      <c r="BZ347" s="135"/>
      <c r="CA347" s="135"/>
      <c r="CB347" s="135"/>
      <c r="CC347" s="135"/>
      <c r="CD347" s="135"/>
      <c r="CE347" s="135"/>
      <c r="CF347" s="135"/>
      <c r="CG347" s="135"/>
      <c r="CH347" s="135"/>
      <c r="CI347" s="135"/>
      <c r="CJ347" s="135"/>
      <c r="CK347" s="135"/>
      <c r="CL347" s="135"/>
      <c r="CM347" s="135"/>
      <c r="CN347" s="135"/>
      <c r="CO347" s="135"/>
      <c r="CP347" s="135"/>
      <c r="CQ347" s="135"/>
      <c r="CR347" s="135"/>
      <c r="CS347" s="135"/>
      <c r="CT347" s="135"/>
      <c r="CU347" s="135"/>
      <c r="CV347" s="135"/>
      <c r="CW347" s="135"/>
      <c r="CX347" s="136"/>
    </row>
    <row r="348" spans="2:102">
      <c r="B348" s="133"/>
      <c r="C348" s="135"/>
      <c r="D348" s="135"/>
      <c r="E348" s="135"/>
      <c r="F348" s="135"/>
      <c r="G348" s="135"/>
      <c r="O348" s="103" t="s">
        <v>176</v>
      </c>
      <c r="AB348" s="135"/>
      <c r="AC348" s="135"/>
      <c r="AD348" s="135"/>
      <c r="AE348" s="135"/>
      <c r="AF348" s="135"/>
      <c r="AG348" s="135"/>
      <c r="AH348" s="135"/>
      <c r="AI348" s="135"/>
      <c r="AJ348" s="135"/>
      <c r="AK348" s="135"/>
      <c r="AL348" s="135"/>
      <c r="AM348" s="135"/>
      <c r="AN348" s="135"/>
      <c r="AO348" s="135"/>
      <c r="AP348" s="135"/>
      <c r="AQ348" s="135"/>
      <c r="AR348" s="135"/>
      <c r="AS348" s="135"/>
      <c r="AT348" s="135"/>
      <c r="AU348" s="135"/>
      <c r="AV348" s="135"/>
      <c r="AW348" s="135"/>
      <c r="AX348" s="135"/>
      <c r="AY348" s="135"/>
      <c r="AZ348" s="135"/>
      <c r="BA348" s="135"/>
      <c r="BB348" s="135"/>
      <c r="BC348" s="135"/>
      <c r="BD348" s="135"/>
      <c r="BE348" s="135"/>
      <c r="BF348" s="135"/>
      <c r="BG348" s="135"/>
      <c r="BH348" s="135"/>
      <c r="BI348" s="135"/>
      <c r="BJ348" s="135"/>
      <c r="BK348" s="135"/>
      <c r="BL348" s="135"/>
      <c r="BM348" s="135"/>
      <c r="BN348" s="135"/>
      <c r="BO348" s="135"/>
      <c r="BP348" s="135"/>
      <c r="BQ348" s="135"/>
      <c r="BR348" s="135"/>
      <c r="BS348" s="135"/>
      <c r="BT348" s="135"/>
      <c r="BU348" s="135"/>
      <c r="BV348" s="135"/>
      <c r="BW348" s="135"/>
      <c r="BX348" s="135"/>
      <c r="BY348" s="135"/>
      <c r="BZ348" s="135"/>
      <c r="CA348" s="135"/>
      <c r="CB348" s="135"/>
      <c r="CC348" s="135"/>
      <c r="CD348" s="135"/>
      <c r="CE348" s="135"/>
      <c r="CF348" s="135"/>
      <c r="CG348" s="135"/>
      <c r="CH348" s="135"/>
      <c r="CI348" s="135"/>
      <c r="CJ348" s="135"/>
      <c r="CK348" s="135"/>
      <c r="CL348" s="135"/>
      <c r="CM348" s="135"/>
      <c r="CN348" s="135"/>
      <c r="CO348" s="135"/>
      <c r="CP348" s="135"/>
      <c r="CQ348" s="135"/>
      <c r="CR348" s="135"/>
      <c r="CS348" s="135"/>
      <c r="CT348" s="135"/>
      <c r="CU348" s="135"/>
      <c r="CV348" s="135"/>
      <c r="CW348" s="135"/>
      <c r="CX348" s="136"/>
    </row>
    <row r="349" spans="2:102">
      <c r="B349" s="133"/>
      <c r="C349" s="135"/>
      <c r="D349" s="135"/>
      <c r="E349" s="135"/>
      <c r="F349" s="135"/>
      <c r="G349" s="135"/>
      <c r="N349" s="143" t="s">
        <v>177</v>
      </c>
      <c r="AB349" s="135"/>
      <c r="AC349" s="135"/>
      <c r="AD349" s="135"/>
      <c r="AE349" s="135"/>
      <c r="AF349" s="135"/>
      <c r="AG349" s="135"/>
      <c r="AH349" s="135"/>
      <c r="AI349" s="135"/>
      <c r="AJ349" s="135"/>
      <c r="AK349" s="135"/>
      <c r="AL349" s="135"/>
      <c r="AM349" s="135"/>
      <c r="AN349" s="135"/>
      <c r="AO349" s="135"/>
      <c r="AP349" s="135"/>
      <c r="AQ349" s="135"/>
      <c r="AR349" s="135"/>
      <c r="AS349" s="135"/>
      <c r="AT349" s="135"/>
      <c r="AU349" s="135"/>
      <c r="AV349" s="135"/>
      <c r="AW349" s="135"/>
      <c r="AX349" s="135"/>
      <c r="AY349" s="135"/>
      <c r="AZ349" s="135"/>
      <c r="BA349" s="135"/>
      <c r="BB349" s="135"/>
      <c r="BC349" s="135"/>
      <c r="BD349" s="135"/>
      <c r="BE349" s="135"/>
      <c r="BF349" s="135"/>
      <c r="BG349" s="135"/>
      <c r="BH349" s="135"/>
      <c r="BI349" s="135"/>
      <c r="BJ349" s="135"/>
      <c r="BK349" s="135"/>
      <c r="BL349" s="135"/>
      <c r="BM349" s="135"/>
      <c r="BN349" s="135"/>
      <c r="BO349" s="135"/>
      <c r="BP349" s="135"/>
      <c r="BQ349" s="135"/>
      <c r="BR349" s="135"/>
      <c r="BS349" s="135"/>
      <c r="BT349" s="135"/>
      <c r="BU349" s="135"/>
      <c r="BV349" s="135"/>
      <c r="BW349" s="135"/>
      <c r="BX349" s="135"/>
      <c r="BY349" s="135"/>
      <c r="BZ349" s="135"/>
      <c r="CA349" s="135"/>
      <c r="CB349" s="135"/>
      <c r="CC349" s="135"/>
      <c r="CD349" s="135"/>
      <c r="CE349" s="135"/>
      <c r="CF349" s="135"/>
      <c r="CG349" s="135"/>
      <c r="CH349" s="135"/>
      <c r="CI349" s="135"/>
      <c r="CJ349" s="135"/>
      <c r="CK349" s="135"/>
      <c r="CL349" s="135"/>
      <c r="CM349" s="135"/>
      <c r="CN349" s="135"/>
      <c r="CO349" s="135"/>
      <c r="CP349" s="135"/>
      <c r="CQ349" s="135"/>
      <c r="CR349" s="135"/>
      <c r="CS349" s="135"/>
      <c r="CT349" s="135"/>
      <c r="CU349" s="135"/>
      <c r="CV349" s="135"/>
      <c r="CW349" s="135"/>
      <c r="CX349" s="136"/>
    </row>
    <row r="350" spans="2:102">
      <c r="B350" s="133"/>
      <c r="C350" s="135"/>
      <c r="D350" s="135"/>
      <c r="E350" s="135"/>
      <c r="F350" s="135"/>
      <c r="G350" s="135"/>
      <c r="O350" s="103" t="s">
        <v>178</v>
      </c>
      <c r="U350" s="135"/>
      <c r="V350" s="135"/>
      <c r="W350" s="135"/>
      <c r="X350" s="135"/>
      <c r="Y350" s="135"/>
      <c r="AB350" s="135"/>
      <c r="AC350" s="135"/>
      <c r="AD350" s="135"/>
      <c r="AE350" s="135"/>
      <c r="AF350" s="135"/>
      <c r="AG350" s="135"/>
      <c r="AH350" s="135"/>
      <c r="AI350" s="135"/>
      <c r="AJ350" s="135"/>
      <c r="AK350" s="135"/>
      <c r="AL350" s="135"/>
      <c r="AM350" s="135"/>
      <c r="AN350" s="135"/>
      <c r="AO350" s="135"/>
      <c r="AP350" s="135"/>
      <c r="AQ350" s="135"/>
      <c r="AR350" s="135"/>
      <c r="AS350" s="135"/>
      <c r="AT350" s="135"/>
      <c r="AU350" s="135"/>
      <c r="AV350" s="135"/>
      <c r="AW350" s="135"/>
      <c r="AX350" s="135"/>
      <c r="AY350" s="135"/>
      <c r="AZ350" s="135"/>
      <c r="BA350" s="135"/>
      <c r="BB350" s="135"/>
      <c r="BC350" s="135"/>
      <c r="BD350" s="135"/>
      <c r="BE350" s="135"/>
      <c r="BF350" s="135"/>
      <c r="BG350" s="135"/>
      <c r="BH350" s="135"/>
      <c r="BI350" s="135"/>
      <c r="BJ350" s="135"/>
      <c r="BK350" s="135"/>
      <c r="BL350" s="135"/>
      <c r="BM350" s="135"/>
      <c r="BN350" s="135"/>
      <c r="BO350" s="135"/>
      <c r="BP350" s="135"/>
      <c r="BQ350" s="135"/>
      <c r="BR350" s="135"/>
      <c r="BS350" s="135"/>
      <c r="BT350" s="135"/>
      <c r="BU350" s="135"/>
      <c r="BV350" s="135"/>
      <c r="BW350" s="135"/>
      <c r="BX350" s="135"/>
      <c r="BY350" s="135"/>
      <c r="BZ350" s="135"/>
      <c r="CA350" s="135"/>
      <c r="CB350" s="135"/>
      <c r="CC350" s="135"/>
      <c r="CD350" s="135"/>
      <c r="CE350" s="135"/>
      <c r="CF350" s="135"/>
      <c r="CG350" s="135"/>
      <c r="CH350" s="135"/>
      <c r="CI350" s="135"/>
      <c r="CJ350" s="135"/>
      <c r="CK350" s="135"/>
      <c r="CL350" s="135"/>
      <c r="CM350" s="135"/>
      <c r="CN350" s="135"/>
      <c r="CO350" s="135"/>
      <c r="CP350" s="135"/>
      <c r="CQ350" s="135"/>
      <c r="CR350" s="135"/>
      <c r="CS350" s="135"/>
      <c r="CT350" s="135"/>
      <c r="CU350" s="135"/>
      <c r="CV350" s="135"/>
      <c r="CW350" s="135"/>
      <c r="CX350" s="136"/>
    </row>
    <row r="351" spans="2:102">
      <c r="B351" s="133"/>
      <c r="C351" s="135"/>
      <c r="D351" s="135"/>
      <c r="E351" s="135"/>
      <c r="F351" s="135"/>
      <c r="G351" s="135"/>
      <c r="O351" s="103" t="s">
        <v>179</v>
      </c>
      <c r="W351" s="135"/>
      <c r="X351" s="135"/>
      <c r="Y351" s="135"/>
      <c r="Z351" s="135"/>
      <c r="AA351" s="135"/>
      <c r="AB351" s="135"/>
      <c r="AC351" s="135"/>
      <c r="AD351" s="135"/>
      <c r="AE351" s="135"/>
      <c r="AF351" s="135"/>
      <c r="AG351" s="135"/>
      <c r="AH351" s="135"/>
      <c r="AI351" s="135"/>
      <c r="AJ351" s="135"/>
      <c r="AK351" s="135"/>
      <c r="AL351" s="135"/>
      <c r="AM351" s="135"/>
      <c r="AN351" s="135"/>
      <c r="AO351" s="135"/>
      <c r="AP351" s="135"/>
      <c r="AQ351" s="135"/>
      <c r="AR351" s="135"/>
      <c r="AS351" s="135"/>
      <c r="AT351" s="135"/>
      <c r="AU351" s="135"/>
      <c r="AV351" s="135"/>
      <c r="AW351" s="135"/>
      <c r="AX351" s="135"/>
      <c r="AY351" s="135"/>
      <c r="AZ351" s="135"/>
      <c r="BA351" s="135"/>
      <c r="BB351" s="135"/>
      <c r="BC351" s="135"/>
      <c r="BD351" s="135"/>
      <c r="BE351" s="135"/>
      <c r="BF351" s="135"/>
      <c r="BG351" s="135"/>
      <c r="BH351" s="135"/>
      <c r="BI351" s="135"/>
      <c r="BJ351" s="135"/>
      <c r="BK351" s="135"/>
      <c r="BL351" s="135"/>
      <c r="BM351" s="135"/>
      <c r="BN351" s="135"/>
      <c r="BO351" s="135"/>
      <c r="BP351" s="135"/>
      <c r="BQ351" s="135"/>
      <c r="BR351" s="135"/>
      <c r="BS351" s="135"/>
      <c r="BT351" s="135"/>
      <c r="BU351" s="135"/>
      <c r="BV351" s="135"/>
      <c r="BW351" s="135"/>
      <c r="BX351" s="135"/>
      <c r="BY351" s="135"/>
      <c r="BZ351" s="135"/>
      <c r="CA351" s="135"/>
      <c r="CB351" s="135"/>
      <c r="CC351" s="135"/>
      <c r="CD351" s="135"/>
      <c r="CE351" s="135"/>
      <c r="CF351" s="135"/>
      <c r="CG351" s="135"/>
      <c r="CH351" s="135"/>
      <c r="CI351" s="135"/>
      <c r="CJ351" s="135"/>
      <c r="CK351" s="135"/>
      <c r="CL351" s="135"/>
      <c r="CM351" s="135"/>
      <c r="CN351" s="135"/>
      <c r="CO351" s="135"/>
      <c r="CP351" s="135"/>
      <c r="CQ351" s="135"/>
      <c r="CR351" s="135"/>
      <c r="CS351" s="135"/>
      <c r="CT351" s="135"/>
      <c r="CU351" s="135"/>
      <c r="CV351" s="135"/>
      <c r="CW351" s="135"/>
      <c r="CX351" s="136"/>
    </row>
    <row r="352" spans="2:102">
      <c r="B352" s="133"/>
      <c r="C352" s="135"/>
      <c r="D352" s="135"/>
      <c r="E352" s="135"/>
      <c r="F352" s="135"/>
      <c r="G352" s="135"/>
      <c r="O352" s="103" t="s">
        <v>180</v>
      </c>
      <c r="U352" s="135"/>
      <c r="V352" s="135"/>
      <c r="W352" s="135"/>
      <c r="X352" s="135"/>
      <c r="Y352" s="135"/>
      <c r="Z352" s="135"/>
      <c r="AA352" s="135"/>
      <c r="AB352" s="135"/>
      <c r="AC352" s="135"/>
      <c r="AD352" s="135"/>
      <c r="AE352" s="135"/>
      <c r="AF352" s="135"/>
      <c r="AG352" s="135"/>
      <c r="AH352" s="135"/>
      <c r="AI352" s="135"/>
      <c r="AJ352" s="135"/>
      <c r="AK352" s="135"/>
      <c r="AL352" s="135"/>
      <c r="AM352" s="135"/>
      <c r="AN352" s="135"/>
      <c r="AO352" s="135"/>
      <c r="AP352" s="135"/>
      <c r="AQ352" s="135"/>
      <c r="AR352" s="135"/>
      <c r="AS352" s="135"/>
      <c r="AT352" s="135"/>
      <c r="AU352" s="135"/>
      <c r="AV352" s="135"/>
      <c r="AW352" s="135"/>
      <c r="AX352" s="135"/>
      <c r="AY352" s="135"/>
      <c r="AZ352" s="135"/>
      <c r="BA352" s="135"/>
      <c r="BB352" s="135"/>
      <c r="BC352" s="135"/>
      <c r="BD352" s="135"/>
      <c r="BE352" s="135"/>
      <c r="BF352" s="135"/>
      <c r="BG352" s="135"/>
      <c r="BH352" s="135"/>
      <c r="BI352" s="135"/>
      <c r="BJ352" s="135"/>
      <c r="BK352" s="135"/>
      <c r="BL352" s="135"/>
      <c r="BM352" s="135"/>
      <c r="BN352" s="135"/>
      <c r="BO352" s="135"/>
      <c r="BP352" s="135"/>
      <c r="BQ352" s="135"/>
      <c r="BR352" s="135"/>
      <c r="BS352" s="135"/>
      <c r="BT352" s="135"/>
      <c r="BU352" s="135"/>
      <c r="BV352" s="135"/>
      <c r="BW352" s="135"/>
      <c r="BX352" s="135"/>
      <c r="BY352" s="135"/>
      <c r="BZ352" s="135"/>
      <c r="CA352" s="135"/>
      <c r="CB352" s="135"/>
      <c r="CC352" s="135"/>
      <c r="CD352" s="135"/>
      <c r="CE352" s="135"/>
      <c r="CF352" s="135"/>
      <c r="CG352" s="135"/>
      <c r="CH352" s="135"/>
      <c r="CI352" s="135"/>
      <c r="CJ352" s="135"/>
      <c r="CK352" s="135"/>
      <c r="CL352" s="135"/>
      <c r="CM352" s="135"/>
      <c r="CN352" s="135"/>
      <c r="CO352" s="135"/>
      <c r="CP352" s="135"/>
      <c r="CQ352" s="135"/>
      <c r="CR352" s="135"/>
      <c r="CS352" s="135"/>
      <c r="CT352" s="135"/>
      <c r="CU352" s="135"/>
      <c r="CV352" s="135"/>
      <c r="CW352" s="135"/>
      <c r="CX352" s="136"/>
    </row>
    <row r="353" spans="2:102">
      <c r="B353" s="133"/>
      <c r="C353" s="135"/>
      <c r="D353" s="135"/>
      <c r="E353" s="135"/>
      <c r="F353" s="135"/>
      <c r="G353" s="135"/>
      <c r="AA353" s="135"/>
      <c r="AB353" s="135"/>
      <c r="AC353" s="135"/>
      <c r="AD353" s="135"/>
      <c r="AE353" s="135"/>
      <c r="AF353" s="135"/>
      <c r="AG353" s="135"/>
      <c r="AH353" s="135"/>
      <c r="AI353" s="135"/>
      <c r="AJ353" s="135"/>
      <c r="AK353" s="135"/>
      <c r="AL353" s="135"/>
      <c r="AM353" s="135"/>
      <c r="AN353" s="135"/>
      <c r="AO353" s="135"/>
      <c r="AP353" s="135"/>
      <c r="AQ353" s="135"/>
      <c r="AR353" s="135"/>
      <c r="AS353" s="135"/>
      <c r="AT353" s="135"/>
      <c r="AU353" s="135"/>
      <c r="AV353" s="135"/>
      <c r="AW353" s="135"/>
      <c r="AX353" s="135"/>
      <c r="AY353" s="135"/>
      <c r="AZ353" s="135"/>
      <c r="BA353" s="135"/>
      <c r="BB353" s="135"/>
      <c r="BC353" s="135"/>
      <c r="BD353" s="135"/>
      <c r="BE353" s="135"/>
      <c r="BF353" s="135"/>
      <c r="BG353" s="135"/>
      <c r="BH353" s="135"/>
      <c r="BI353" s="135"/>
      <c r="BJ353" s="135"/>
      <c r="BK353" s="135"/>
      <c r="BL353" s="135"/>
      <c r="BM353" s="135"/>
      <c r="BN353" s="135"/>
      <c r="BO353" s="135"/>
      <c r="BP353" s="135"/>
      <c r="BQ353" s="135"/>
      <c r="BR353" s="135"/>
      <c r="BS353" s="135"/>
      <c r="BT353" s="135"/>
      <c r="BU353" s="135"/>
      <c r="BV353" s="135"/>
      <c r="BW353" s="135"/>
      <c r="BX353" s="135"/>
      <c r="BY353" s="135"/>
      <c r="BZ353" s="135"/>
      <c r="CA353" s="135"/>
      <c r="CB353" s="135"/>
      <c r="CC353" s="135"/>
      <c r="CD353" s="135"/>
      <c r="CE353" s="135"/>
      <c r="CF353" s="135"/>
      <c r="CG353" s="135"/>
      <c r="CH353" s="135"/>
      <c r="CI353" s="135"/>
      <c r="CJ353" s="135"/>
      <c r="CK353" s="135"/>
      <c r="CL353" s="135"/>
      <c r="CM353" s="135"/>
      <c r="CN353" s="135"/>
      <c r="CO353" s="135"/>
      <c r="CP353" s="135"/>
      <c r="CQ353" s="135"/>
      <c r="CR353" s="135"/>
      <c r="CS353" s="135"/>
      <c r="CT353" s="135"/>
      <c r="CU353" s="135"/>
      <c r="CV353" s="135"/>
      <c r="CW353" s="135"/>
      <c r="CX353" s="136"/>
    </row>
    <row r="354" spans="2:102">
      <c r="B354" s="133"/>
      <c r="C354" s="135"/>
      <c r="D354" s="135"/>
      <c r="E354" s="135"/>
      <c r="F354" s="135"/>
      <c r="H354" s="135" t="s">
        <v>181</v>
      </c>
      <c r="I354" s="135"/>
      <c r="J354" s="135"/>
      <c r="K354" s="135"/>
      <c r="L354" s="135"/>
      <c r="M354" s="135"/>
      <c r="N354" s="135" t="s">
        <v>182</v>
      </c>
      <c r="O354" s="135"/>
      <c r="P354" s="135"/>
      <c r="S354" s="135"/>
      <c r="T354" s="135"/>
      <c r="V354" s="135"/>
      <c r="W354" s="135"/>
      <c r="X354" s="135"/>
      <c r="Y354" s="135"/>
      <c r="Z354" s="135"/>
      <c r="AA354" s="135"/>
      <c r="AB354" s="135"/>
      <c r="AC354" s="135"/>
      <c r="AD354" s="135"/>
      <c r="AE354" s="135"/>
      <c r="AF354" s="135"/>
      <c r="AG354" s="135"/>
      <c r="AH354" s="135"/>
      <c r="AI354" s="135"/>
      <c r="AJ354" s="135"/>
      <c r="AK354" s="135"/>
      <c r="AL354" s="135"/>
      <c r="AM354" s="135"/>
      <c r="AN354" s="135"/>
      <c r="AO354" s="135"/>
      <c r="AP354" s="135"/>
      <c r="AQ354" s="135"/>
      <c r="AR354" s="135"/>
      <c r="AS354" s="135"/>
      <c r="AT354" s="135"/>
      <c r="AU354" s="135"/>
      <c r="AV354" s="135"/>
      <c r="AW354" s="135"/>
      <c r="AX354" s="135"/>
      <c r="AY354" s="135"/>
      <c r="AZ354" s="135"/>
      <c r="BA354" s="135"/>
      <c r="BB354" s="135"/>
      <c r="BC354" s="135"/>
      <c r="BD354" s="135"/>
      <c r="BE354" s="135"/>
      <c r="BF354" s="135"/>
      <c r="BG354" s="135"/>
      <c r="BH354" s="135"/>
      <c r="BI354" s="135"/>
      <c r="BJ354" s="135"/>
      <c r="BK354" s="135"/>
      <c r="BL354" s="135"/>
      <c r="BM354" s="135"/>
      <c r="BN354" s="135"/>
      <c r="BO354" s="135"/>
      <c r="BP354" s="135"/>
      <c r="BQ354" s="135"/>
      <c r="BR354" s="135"/>
      <c r="BS354" s="135"/>
      <c r="BT354" s="135"/>
      <c r="BU354" s="135"/>
      <c r="BV354" s="135"/>
      <c r="BW354" s="135"/>
      <c r="BX354" s="135"/>
      <c r="BY354" s="135"/>
      <c r="BZ354" s="135"/>
      <c r="CA354" s="135"/>
      <c r="CB354" s="135"/>
      <c r="CC354" s="135"/>
      <c r="CD354" s="135"/>
      <c r="CE354" s="135"/>
      <c r="CF354" s="135"/>
      <c r="CG354" s="135"/>
      <c r="CH354" s="135"/>
      <c r="CI354" s="135"/>
      <c r="CJ354" s="135"/>
      <c r="CK354" s="135"/>
      <c r="CL354" s="135"/>
      <c r="CM354" s="135"/>
      <c r="CN354" s="135"/>
      <c r="CO354" s="135"/>
      <c r="CP354" s="135"/>
      <c r="CQ354" s="135"/>
      <c r="CR354" s="135"/>
      <c r="CS354" s="135"/>
      <c r="CT354" s="135"/>
      <c r="CU354" s="135"/>
      <c r="CV354" s="135"/>
      <c r="CW354" s="135"/>
      <c r="CX354" s="136"/>
    </row>
    <row r="355" spans="2:102">
      <c r="B355" s="133"/>
      <c r="C355" s="135"/>
      <c r="D355" s="135"/>
      <c r="E355" s="135"/>
      <c r="F355" s="135"/>
      <c r="Y355" s="135"/>
      <c r="Z355" s="135"/>
      <c r="AA355" s="135"/>
      <c r="AB355" s="135"/>
      <c r="AC355" s="135"/>
      <c r="AD355" s="135"/>
      <c r="AE355" s="135"/>
      <c r="AF355" s="135"/>
      <c r="AG355" s="135"/>
      <c r="AH355" s="135"/>
      <c r="AI355" s="135"/>
      <c r="AJ355" s="135"/>
      <c r="AK355" s="135"/>
      <c r="AL355" s="135"/>
      <c r="AM355" s="135"/>
      <c r="AN355" s="135"/>
      <c r="AO355" s="135"/>
      <c r="AP355" s="135"/>
      <c r="AQ355" s="135"/>
      <c r="AR355" s="135"/>
      <c r="AS355" s="135"/>
      <c r="AT355" s="135"/>
      <c r="AU355" s="135"/>
      <c r="AV355" s="135"/>
      <c r="AW355" s="135"/>
      <c r="AX355" s="135"/>
      <c r="AY355" s="135"/>
      <c r="AZ355" s="135"/>
      <c r="BA355" s="135"/>
      <c r="BB355" s="135"/>
      <c r="BC355" s="135"/>
      <c r="BD355" s="135"/>
      <c r="BE355" s="135"/>
      <c r="BF355" s="135"/>
      <c r="BG355" s="135"/>
      <c r="BH355" s="135"/>
      <c r="BI355" s="135"/>
      <c r="BJ355" s="135"/>
      <c r="BK355" s="135"/>
      <c r="BL355" s="135"/>
      <c r="BM355" s="135"/>
      <c r="BN355" s="135"/>
      <c r="BO355" s="135"/>
      <c r="BP355" s="135"/>
      <c r="BQ355" s="135"/>
      <c r="BR355" s="135"/>
      <c r="BS355" s="135"/>
      <c r="BT355" s="135"/>
      <c r="BU355" s="135"/>
      <c r="BV355" s="135"/>
      <c r="BW355" s="135"/>
      <c r="BX355" s="135"/>
      <c r="BY355" s="135"/>
      <c r="BZ355" s="135"/>
      <c r="CA355" s="135"/>
      <c r="CB355" s="135"/>
      <c r="CC355" s="135"/>
      <c r="CD355" s="135"/>
      <c r="CE355" s="135"/>
      <c r="CF355" s="135"/>
      <c r="CG355" s="135"/>
      <c r="CH355" s="135"/>
      <c r="CI355" s="135"/>
      <c r="CJ355" s="135"/>
      <c r="CK355" s="135"/>
      <c r="CL355" s="135"/>
      <c r="CM355" s="135"/>
      <c r="CN355" s="135"/>
      <c r="CO355" s="135"/>
      <c r="CP355" s="135"/>
      <c r="CQ355" s="135"/>
      <c r="CR355" s="135"/>
      <c r="CS355" s="135"/>
      <c r="CT355" s="135"/>
      <c r="CU355" s="135"/>
      <c r="CV355" s="135"/>
      <c r="CW355" s="135"/>
      <c r="CX355" s="136"/>
    </row>
    <row r="356" spans="2:102">
      <c r="B356" s="133"/>
      <c r="C356" s="135"/>
      <c r="D356" s="135"/>
      <c r="E356" s="135"/>
      <c r="F356" s="135"/>
      <c r="H356" s="135" t="s">
        <v>183</v>
      </c>
      <c r="I356" s="135"/>
      <c r="J356" s="135"/>
      <c r="K356" s="135"/>
      <c r="L356" s="135"/>
      <c r="M356" s="135"/>
      <c r="N356" s="135" t="s">
        <v>184</v>
      </c>
      <c r="O356" s="135"/>
      <c r="P356" s="135"/>
      <c r="Q356" s="135"/>
      <c r="R356" s="135"/>
      <c r="S356" s="135"/>
      <c r="W356" s="135"/>
      <c r="X356" s="135"/>
      <c r="Y356" s="135"/>
      <c r="Z356" s="135"/>
      <c r="AA356" s="135"/>
      <c r="AB356" s="135"/>
      <c r="AC356" s="135"/>
      <c r="AD356" s="135"/>
      <c r="AE356" s="135"/>
      <c r="AF356" s="135"/>
      <c r="AG356" s="135"/>
      <c r="AH356" s="135"/>
      <c r="AI356" s="135"/>
      <c r="AJ356" s="135"/>
      <c r="AK356" s="135"/>
      <c r="AL356" s="135"/>
      <c r="AM356" s="135"/>
      <c r="AN356" s="135"/>
      <c r="AO356" s="135"/>
      <c r="AP356" s="135"/>
      <c r="AQ356" s="135"/>
      <c r="AR356" s="135"/>
      <c r="AS356" s="135"/>
      <c r="AT356" s="135"/>
      <c r="AU356" s="135"/>
      <c r="AV356" s="135"/>
      <c r="AW356" s="135"/>
      <c r="AX356" s="135"/>
      <c r="AY356" s="135"/>
      <c r="AZ356" s="135"/>
      <c r="BA356" s="135"/>
      <c r="BB356" s="135"/>
      <c r="BC356" s="135"/>
      <c r="BD356" s="135"/>
      <c r="BE356" s="135"/>
      <c r="BF356" s="135"/>
      <c r="BG356" s="135"/>
      <c r="BH356" s="135"/>
      <c r="BI356" s="135"/>
      <c r="BJ356" s="135"/>
      <c r="BK356" s="135"/>
      <c r="BL356" s="135"/>
      <c r="BM356" s="135"/>
      <c r="BN356" s="135"/>
      <c r="BO356" s="135"/>
      <c r="BP356" s="135"/>
      <c r="BQ356" s="135"/>
      <c r="BR356" s="135"/>
      <c r="BS356" s="135"/>
      <c r="BT356" s="135"/>
      <c r="BU356" s="135"/>
      <c r="BV356" s="135"/>
      <c r="BW356" s="135"/>
      <c r="BX356" s="135"/>
      <c r="BY356" s="135"/>
      <c r="BZ356" s="135"/>
      <c r="CA356" s="135"/>
      <c r="CB356" s="135"/>
      <c r="CC356" s="135"/>
      <c r="CD356" s="135"/>
      <c r="CE356" s="135"/>
      <c r="CF356" s="135"/>
      <c r="CG356" s="135"/>
      <c r="CH356" s="135"/>
      <c r="CI356" s="135"/>
      <c r="CJ356" s="135"/>
      <c r="CK356" s="135"/>
      <c r="CL356" s="135"/>
      <c r="CM356" s="135"/>
      <c r="CN356" s="135"/>
      <c r="CO356" s="135"/>
      <c r="CP356" s="135"/>
      <c r="CQ356" s="135"/>
      <c r="CR356" s="135"/>
      <c r="CS356" s="135"/>
      <c r="CT356" s="135"/>
      <c r="CU356" s="135"/>
      <c r="CV356" s="135"/>
      <c r="CW356" s="135"/>
      <c r="CX356" s="136"/>
    </row>
    <row r="357" spans="2:102">
      <c r="B357" s="133"/>
      <c r="C357" s="135"/>
      <c r="D357" s="135"/>
      <c r="E357" s="135"/>
      <c r="F357" s="135"/>
      <c r="G357" s="135"/>
      <c r="T357" s="135"/>
      <c r="V357" s="135"/>
      <c r="W357" s="135"/>
      <c r="X357" s="135"/>
      <c r="Y357" s="135"/>
      <c r="Z357" s="135"/>
      <c r="AA357" s="135"/>
      <c r="AB357" s="135"/>
      <c r="AC357" s="135"/>
      <c r="AD357" s="135"/>
      <c r="AE357" s="135"/>
      <c r="AF357" s="135"/>
      <c r="AG357" s="135"/>
      <c r="AH357" s="135"/>
      <c r="AI357" s="135"/>
      <c r="AJ357" s="135"/>
      <c r="AK357" s="135"/>
      <c r="AL357" s="135"/>
      <c r="AM357" s="135"/>
      <c r="AN357" s="135"/>
      <c r="AO357" s="135"/>
      <c r="AP357" s="135"/>
      <c r="AQ357" s="135"/>
      <c r="AR357" s="135"/>
      <c r="AS357" s="135"/>
      <c r="AT357" s="135"/>
      <c r="AU357" s="135"/>
      <c r="AV357" s="135"/>
      <c r="AW357" s="135"/>
      <c r="AX357" s="135"/>
      <c r="AY357" s="135"/>
      <c r="AZ357" s="135"/>
      <c r="BA357" s="135"/>
      <c r="BB357" s="135"/>
      <c r="BC357" s="135"/>
      <c r="BD357" s="135"/>
      <c r="BE357" s="135"/>
      <c r="BF357" s="135"/>
      <c r="BG357" s="135"/>
      <c r="BH357" s="135"/>
      <c r="BI357" s="135"/>
      <c r="BJ357" s="135"/>
      <c r="BK357" s="135"/>
      <c r="BL357" s="135"/>
      <c r="BM357" s="135"/>
      <c r="BN357" s="135"/>
      <c r="BO357" s="135"/>
      <c r="BP357" s="135"/>
      <c r="BQ357" s="135"/>
      <c r="BR357" s="135"/>
      <c r="BS357" s="135"/>
      <c r="BT357" s="135"/>
      <c r="BU357" s="135"/>
      <c r="BV357" s="135"/>
      <c r="BW357" s="135"/>
      <c r="BX357" s="135"/>
      <c r="BY357" s="135"/>
      <c r="BZ357" s="135"/>
      <c r="CA357" s="135"/>
      <c r="CB357" s="135"/>
      <c r="CC357" s="135"/>
      <c r="CD357" s="135"/>
      <c r="CE357" s="135"/>
      <c r="CF357" s="135"/>
      <c r="CG357" s="135"/>
      <c r="CH357" s="135"/>
      <c r="CI357" s="135"/>
      <c r="CJ357" s="135"/>
      <c r="CK357" s="135"/>
      <c r="CL357" s="135"/>
      <c r="CM357" s="135"/>
      <c r="CN357" s="135"/>
      <c r="CO357" s="135"/>
      <c r="CP357" s="135"/>
      <c r="CQ357" s="135"/>
      <c r="CR357" s="135"/>
      <c r="CS357" s="135"/>
      <c r="CT357" s="135"/>
      <c r="CU357" s="135"/>
      <c r="CV357" s="135"/>
      <c r="CW357" s="135"/>
      <c r="CX357" s="136"/>
    </row>
    <row r="358" spans="2:102">
      <c r="B358" s="133"/>
      <c r="C358" s="135"/>
      <c r="D358" s="135"/>
      <c r="E358" s="135"/>
      <c r="F358" s="135"/>
      <c r="G358" s="135"/>
      <c r="H358" s="135" t="s">
        <v>185</v>
      </c>
      <c r="I358" s="135"/>
      <c r="J358" s="135"/>
      <c r="K358" s="135"/>
      <c r="L358" s="135"/>
      <c r="M358" s="135"/>
      <c r="N358" s="135" t="s">
        <v>186</v>
      </c>
      <c r="O358" s="135"/>
      <c r="P358" s="135"/>
      <c r="Q358" s="135"/>
      <c r="R358" s="135"/>
      <c r="S358" s="135"/>
      <c r="V358" s="135"/>
      <c r="W358" s="135"/>
      <c r="X358" s="135"/>
      <c r="Y358" s="135"/>
      <c r="Z358" s="135"/>
      <c r="AA358" s="135"/>
      <c r="AB358" s="135"/>
      <c r="AC358" s="135"/>
      <c r="AD358" s="135"/>
      <c r="AE358" s="135"/>
      <c r="AF358" s="135"/>
      <c r="AG358" s="135"/>
      <c r="AH358" s="135"/>
      <c r="AI358" s="135"/>
      <c r="AJ358" s="135"/>
      <c r="AK358" s="135"/>
      <c r="AL358" s="135"/>
      <c r="AM358" s="135"/>
      <c r="AN358" s="135"/>
      <c r="AO358" s="135"/>
      <c r="AP358" s="135"/>
      <c r="AQ358" s="135"/>
      <c r="AR358" s="135"/>
      <c r="AS358" s="135"/>
      <c r="AT358" s="135"/>
      <c r="AU358" s="135"/>
      <c r="AV358" s="135"/>
      <c r="AW358" s="135"/>
      <c r="AX358" s="135"/>
      <c r="AY358" s="135"/>
      <c r="AZ358" s="135"/>
      <c r="BA358" s="135"/>
      <c r="BB358" s="135"/>
      <c r="BC358" s="135"/>
      <c r="BD358" s="135"/>
      <c r="BE358" s="135"/>
      <c r="BF358" s="135"/>
      <c r="BG358" s="135"/>
      <c r="BH358" s="135"/>
      <c r="BI358" s="135"/>
      <c r="BJ358" s="135"/>
      <c r="BK358" s="135"/>
      <c r="BL358" s="135"/>
      <c r="BM358" s="135"/>
      <c r="BN358" s="135"/>
      <c r="BO358" s="135"/>
      <c r="BP358" s="135"/>
      <c r="BQ358" s="135"/>
      <c r="BR358" s="135"/>
      <c r="BS358" s="135"/>
      <c r="BT358" s="135"/>
      <c r="BU358" s="135"/>
      <c r="BV358" s="135"/>
      <c r="BW358" s="135"/>
      <c r="BX358" s="135"/>
      <c r="BY358" s="135"/>
      <c r="BZ358" s="135"/>
      <c r="CA358" s="135"/>
      <c r="CB358" s="135"/>
      <c r="CC358" s="135"/>
      <c r="CD358" s="135"/>
      <c r="CE358" s="135"/>
      <c r="CF358" s="135"/>
      <c r="CG358" s="135"/>
      <c r="CH358" s="135"/>
      <c r="CI358" s="135"/>
      <c r="CJ358" s="135"/>
      <c r="CK358" s="135"/>
      <c r="CL358" s="135"/>
      <c r="CM358" s="135"/>
      <c r="CN358" s="135"/>
      <c r="CO358" s="135"/>
      <c r="CP358" s="135"/>
      <c r="CQ358" s="135"/>
      <c r="CR358" s="135"/>
      <c r="CS358" s="135"/>
      <c r="CT358" s="135"/>
      <c r="CU358" s="135"/>
      <c r="CV358" s="135"/>
      <c r="CW358" s="135"/>
      <c r="CX358" s="136"/>
    </row>
    <row r="359" spans="2:102">
      <c r="B359" s="133"/>
      <c r="C359" s="135"/>
      <c r="D359" s="135"/>
      <c r="E359" s="135"/>
      <c r="F359" s="135"/>
      <c r="G359" s="135"/>
      <c r="H359" s="135" t="s">
        <v>187</v>
      </c>
      <c r="I359" s="135"/>
      <c r="J359" s="135"/>
      <c r="K359" s="135"/>
      <c r="L359" s="135"/>
      <c r="M359" s="135"/>
      <c r="N359" s="135" t="s">
        <v>188</v>
      </c>
      <c r="O359" s="135"/>
      <c r="P359" s="135"/>
      <c r="Q359" s="135"/>
      <c r="R359" s="135"/>
      <c r="S359" s="135"/>
      <c r="T359" s="135"/>
      <c r="W359" s="135"/>
      <c r="X359" s="135"/>
      <c r="Y359" s="135"/>
      <c r="Z359" s="135"/>
      <c r="AA359" s="135"/>
      <c r="AB359" s="135"/>
      <c r="AC359" s="135"/>
      <c r="AD359" s="135"/>
      <c r="AE359" s="135"/>
      <c r="AF359" s="135"/>
      <c r="AG359" s="135"/>
      <c r="AH359" s="135"/>
      <c r="AI359" s="135"/>
      <c r="AJ359" s="135"/>
      <c r="AK359" s="135"/>
      <c r="AL359" s="135"/>
      <c r="AM359" s="135"/>
      <c r="AN359" s="135"/>
      <c r="AO359" s="135"/>
      <c r="AP359" s="135"/>
      <c r="AQ359" s="135"/>
      <c r="AR359" s="135"/>
      <c r="AS359" s="135"/>
      <c r="AT359" s="135"/>
      <c r="AU359" s="135"/>
      <c r="AV359" s="135"/>
      <c r="AW359" s="135"/>
      <c r="AX359" s="135"/>
      <c r="AY359" s="135"/>
      <c r="AZ359" s="135"/>
      <c r="BA359" s="135"/>
      <c r="BB359" s="135"/>
      <c r="BC359" s="135"/>
      <c r="BD359" s="135"/>
      <c r="BE359" s="135"/>
      <c r="BF359" s="135"/>
      <c r="BG359" s="135"/>
      <c r="BH359" s="135"/>
      <c r="BI359" s="135"/>
      <c r="BJ359" s="135"/>
      <c r="BK359" s="135"/>
      <c r="BL359" s="135"/>
      <c r="BM359" s="135"/>
      <c r="BN359" s="135"/>
      <c r="BO359" s="135"/>
      <c r="BP359" s="135"/>
      <c r="BQ359" s="135"/>
      <c r="BR359" s="135"/>
      <c r="BS359" s="135"/>
      <c r="BT359" s="135"/>
      <c r="BU359" s="135"/>
      <c r="BV359" s="135"/>
      <c r="BW359" s="135"/>
      <c r="BX359" s="135"/>
      <c r="BY359" s="135"/>
      <c r="BZ359" s="135"/>
      <c r="CA359" s="135"/>
      <c r="CB359" s="135"/>
      <c r="CC359" s="135"/>
      <c r="CD359" s="135"/>
      <c r="CE359" s="135"/>
      <c r="CF359" s="135"/>
      <c r="CG359" s="135"/>
      <c r="CH359" s="135"/>
      <c r="CI359" s="135"/>
      <c r="CJ359" s="135"/>
      <c r="CK359" s="135"/>
      <c r="CL359" s="135"/>
      <c r="CM359" s="135"/>
      <c r="CN359" s="135"/>
      <c r="CO359" s="135"/>
      <c r="CP359" s="135"/>
      <c r="CQ359" s="135"/>
      <c r="CR359" s="135"/>
      <c r="CS359" s="135"/>
      <c r="CT359" s="135"/>
      <c r="CU359" s="135"/>
      <c r="CV359" s="135"/>
      <c r="CW359" s="135"/>
      <c r="CX359" s="136"/>
    </row>
    <row r="360" spans="2:102">
      <c r="B360" s="128"/>
      <c r="CX360" s="129"/>
    </row>
    <row r="361" spans="2:102">
      <c r="B361" s="133"/>
      <c r="C361" s="135"/>
      <c r="D361" s="135"/>
      <c r="Z361" s="135"/>
      <c r="AA361" s="135"/>
      <c r="AB361" s="135"/>
      <c r="AC361" s="135"/>
      <c r="AD361" s="135"/>
      <c r="AE361" s="135"/>
      <c r="AF361" s="135"/>
      <c r="AG361" s="135"/>
      <c r="AH361" s="135"/>
      <c r="AI361" s="135"/>
      <c r="AJ361" s="135"/>
      <c r="AK361" s="135"/>
      <c r="AL361" s="135"/>
      <c r="AM361" s="135"/>
      <c r="AN361" s="135"/>
      <c r="AO361" s="135"/>
      <c r="AP361" s="135"/>
      <c r="AQ361" s="135"/>
      <c r="AR361" s="135"/>
      <c r="AS361" s="135"/>
      <c r="AT361" s="135"/>
      <c r="AU361" s="135"/>
      <c r="AV361" s="135"/>
      <c r="AW361" s="135"/>
      <c r="AX361" s="135"/>
      <c r="AY361" s="135"/>
      <c r="AZ361" s="135"/>
      <c r="BA361" s="135"/>
      <c r="BB361" s="135"/>
      <c r="BC361" s="135"/>
      <c r="BD361" s="135"/>
      <c r="BE361" s="135"/>
      <c r="BF361" s="135"/>
      <c r="BG361" s="135"/>
      <c r="BH361" s="135"/>
      <c r="BI361" s="135"/>
      <c r="BJ361" s="135"/>
      <c r="BK361" s="135"/>
      <c r="BL361" s="135"/>
      <c r="BM361" s="135"/>
      <c r="BN361" s="135"/>
      <c r="BO361" s="135"/>
      <c r="BP361" s="135"/>
      <c r="BQ361" s="135"/>
      <c r="BR361" s="135"/>
      <c r="BS361" s="135"/>
      <c r="BT361" s="135"/>
      <c r="BU361" s="135"/>
      <c r="BV361" s="135"/>
      <c r="BW361" s="135"/>
      <c r="BX361" s="135"/>
      <c r="BY361" s="135"/>
      <c r="BZ361" s="135"/>
      <c r="CA361" s="135"/>
      <c r="CB361" s="135"/>
      <c r="CC361" s="135"/>
      <c r="CD361" s="135"/>
      <c r="CE361" s="135"/>
      <c r="CF361" s="135"/>
      <c r="CG361" s="135"/>
      <c r="CH361" s="135"/>
      <c r="CI361" s="135"/>
      <c r="CJ361" s="135"/>
      <c r="CK361" s="135"/>
      <c r="CL361" s="135"/>
      <c r="CM361" s="135"/>
      <c r="CN361" s="135"/>
      <c r="CO361" s="135"/>
      <c r="CP361" s="135"/>
      <c r="CQ361" s="135"/>
      <c r="CR361" s="135"/>
      <c r="CS361" s="135"/>
      <c r="CT361" s="135"/>
      <c r="CU361" s="135"/>
      <c r="CV361" s="135"/>
      <c r="CW361" s="135"/>
      <c r="CX361" s="136"/>
    </row>
    <row r="362" spans="2:102">
      <c r="B362" s="133"/>
      <c r="C362" s="135"/>
      <c r="D362" s="135"/>
      <c r="E362" s="135"/>
      <c r="F362" s="135"/>
      <c r="G362" s="135"/>
      <c r="H362" s="135" t="s">
        <v>189</v>
      </c>
      <c r="I362" s="135"/>
      <c r="J362" s="135"/>
      <c r="K362" s="135"/>
      <c r="L362" s="135"/>
      <c r="M362" s="135"/>
      <c r="N362" s="135" t="s">
        <v>190</v>
      </c>
      <c r="O362" s="135"/>
      <c r="P362" s="135"/>
      <c r="S362" s="135"/>
      <c r="T362" s="135"/>
      <c r="AB362" s="135"/>
      <c r="AC362" s="135"/>
      <c r="AD362" s="135"/>
      <c r="AE362" s="135"/>
      <c r="AF362" s="135"/>
      <c r="AG362" s="135"/>
      <c r="AH362" s="135"/>
      <c r="AI362" s="135"/>
      <c r="AJ362" s="135"/>
      <c r="AK362" s="135"/>
      <c r="AL362" s="135"/>
      <c r="AM362" s="135"/>
      <c r="AN362" s="135"/>
      <c r="AO362" s="135"/>
      <c r="AP362" s="135"/>
      <c r="AQ362" s="135"/>
      <c r="AR362" s="135"/>
      <c r="AS362" s="135"/>
      <c r="AT362" s="135"/>
      <c r="AU362" s="135"/>
      <c r="AV362" s="135"/>
      <c r="AW362" s="135"/>
      <c r="AX362" s="135"/>
      <c r="AY362" s="135"/>
      <c r="AZ362" s="135"/>
      <c r="BA362" s="135"/>
      <c r="BB362" s="135"/>
      <c r="BC362" s="135"/>
      <c r="BD362" s="135"/>
      <c r="BE362" s="135"/>
      <c r="BF362" s="135"/>
      <c r="BG362" s="135"/>
      <c r="BH362" s="135"/>
      <c r="BI362" s="135"/>
      <c r="BJ362" s="135"/>
      <c r="BK362" s="135"/>
      <c r="BL362" s="135"/>
      <c r="BM362" s="135"/>
      <c r="BN362" s="135"/>
      <c r="BO362" s="135"/>
      <c r="BP362" s="135"/>
      <c r="BQ362" s="135"/>
      <c r="BR362" s="135"/>
      <c r="BS362" s="135"/>
      <c r="BT362" s="135"/>
      <c r="BU362" s="135"/>
      <c r="BV362" s="135"/>
      <c r="BW362" s="135"/>
      <c r="BX362" s="135"/>
      <c r="BY362" s="135"/>
      <c r="BZ362" s="135"/>
      <c r="CA362" s="135"/>
      <c r="CB362" s="135"/>
      <c r="CC362" s="135"/>
      <c r="CD362" s="135"/>
      <c r="CE362" s="135"/>
      <c r="CF362" s="135"/>
      <c r="CG362" s="135"/>
      <c r="CH362" s="135"/>
      <c r="CI362" s="135"/>
      <c r="CJ362" s="135"/>
      <c r="CK362" s="135"/>
      <c r="CL362" s="135"/>
      <c r="CM362" s="135"/>
      <c r="CN362" s="135"/>
      <c r="CO362" s="135"/>
      <c r="CP362" s="135"/>
      <c r="CQ362" s="135"/>
      <c r="CR362" s="135"/>
      <c r="CS362" s="135"/>
      <c r="CT362" s="135"/>
      <c r="CU362" s="135"/>
      <c r="CV362" s="135"/>
      <c r="CW362" s="135"/>
      <c r="CX362" s="136"/>
    </row>
    <row r="363" spans="2:102">
      <c r="B363" s="133"/>
      <c r="C363" s="135"/>
      <c r="D363" s="135"/>
      <c r="E363" s="135"/>
      <c r="F363" s="135"/>
      <c r="G363" s="135"/>
      <c r="H363" s="135" t="s">
        <v>191</v>
      </c>
      <c r="I363" s="135"/>
      <c r="J363" s="135"/>
      <c r="K363" s="135"/>
      <c r="L363" s="135"/>
      <c r="M363" s="135"/>
      <c r="N363" s="135" t="s">
        <v>192</v>
      </c>
      <c r="O363" s="135"/>
      <c r="P363" s="135"/>
      <c r="Q363" s="135"/>
      <c r="R363" s="135"/>
      <c r="T363" s="135"/>
      <c r="AB363" s="135"/>
      <c r="AC363" s="135"/>
      <c r="AD363" s="135"/>
      <c r="AE363" s="135"/>
      <c r="AF363" s="135"/>
      <c r="AG363" s="135"/>
      <c r="AH363" s="135"/>
      <c r="AI363" s="135"/>
      <c r="AJ363" s="135"/>
      <c r="AK363" s="135"/>
      <c r="AL363" s="135"/>
      <c r="AM363" s="135"/>
      <c r="AN363" s="135"/>
      <c r="AO363" s="135"/>
      <c r="AP363" s="135"/>
      <c r="AQ363" s="135"/>
      <c r="AR363" s="135"/>
      <c r="AS363" s="135"/>
      <c r="AT363" s="135"/>
      <c r="AU363" s="135"/>
      <c r="AV363" s="135"/>
      <c r="AW363" s="135"/>
      <c r="AX363" s="135"/>
      <c r="AY363" s="135"/>
      <c r="AZ363" s="135"/>
      <c r="BA363" s="135"/>
      <c r="BB363" s="135"/>
      <c r="BC363" s="135"/>
      <c r="BD363" s="135"/>
      <c r="BE363" s="135"/>
      <c r="BF363" s="135"/>
      <c r="BG363" s="135"/>
      <c r="BH363" s="135"/>
      <c r="BI363" s="135"/>
      <c r="BJ363" s="135"/>
      <c r="BK363" s="135"/>
      <c r="BL363" s="135"/>
      <c r="BM363" s="135"/>
      <c r="BN363" s="135"/>
      <c r="BO363" s="135"/>
      <c r="BP363" s="135"/>
      <c r="BQ363" s="135"/>
      <c r="BR363" s="135"/>
      <c r="BS363" s="135"/>
      <c r="BT363" s="135"/>
      <c r="BU363" s="135"/>
      <c r="BV363" s="135"/>
      <c r="BW363" s="135"/>
      <c r="BX363" s="135"/>
      <c r="BY363" s="135"/>
      <c r="BZ363" s="135"/>
      <c r="CA363" s="135"/>
      <c r="CB363" s="135"/>
      <c r="CC363" s="135"/>
      <c r="CD363" s="135"/>
      <c r="CE363" s="135"/>
      <c r="CF363" s="135"/>
      <c r="CG363" s="135"/>
      <c r="CH363" s="135"/>
      <c r="CI363" s="135"/>
      <c r="CJ363" s="135"/>
      <c r="CK363" s="135"/>
      <c r="CL363" s="135"/>
      <c r="CM363" s="135"/>
      <c r="CN363" s="135"/>
      <c r="CO363" s="135"/>
      <c r="CP363" s="135"/>
      <c r="CQ363" s="135"/>
      <c r="CR363" s="135"/>
      <c r="CS363" s="135"/>
      <c r="CT363" s="135"/>
      <c r="CU363" s="135"/>
      <c r="CV363" s="135"/>
      <c r="CW363" s="135"/>
      <c r="CX363" s="136"/>
    </row>
    <row r="364" spans="2:102">
      <c r="B364" s="133"/>
      <c r="C364" s="135"/>
      <c r="D364" s="135"/>
      <c r="E364" s="137"/>
      <c r="F364" s="138"/>
      <c r="G364" s="138"/>
      <c r="H364" s="135" t="s">
        <v>193</v>
      </c>
      <c r="I364" s="135"/>
      <c r="J364" s="135"/>
      <c r="K364" s="135"/>
      <c r="L364" s="135"/>
      <c r="M364" s="135"/>
      <c r="N364" s="135" t="s">
        <v>194</v>
      </c>
      <c r="O364" s="135"/>
      <c r="P364" s="135"/>
      <c r="U364" s="135"/>
      <c r="V364" s="135"/>
      <c r="Z364" s="135"/>
      <c r="AA364" s="135"/>
      <c r="AB364" s="135"/>
      <c r="AC364" s="135"/>
      <c r="AD364" s="135"/>
      <c r="AE364" s="135"/>
      <c r="AF364" s="135"/>
      <c r="AG364" s="135"/>
      <c r="AH364" s="135"/>
      <c r="AI364" s="135"/>
      <c r="AJ364" s="135"/>
      <c r="AK364" s="135"/>
      <c r="AL364" s="135"/>
      <c r="AM364" s="135"/>
      <c r="AN364" s="135"/>
      <c r="AO364" s="135"/>
      <c r="AP364" s="135"/>
      <c r="AQ364" s="135"/>
      <c r="AR364" s="135"/>
      <c r="AS364" s="135"/>
      <c r="AT364" s="135"/>
      <c r="AU364" s="135"/>
      <c r="AV364" s="135"/>
      <c r="AW364" s="135"/>
      <c r="AX364" s="135"/>
      <c r="AY364" s="135"/>
      <c r="AZ364" s="135"/>
      <c r="BA364" s="135"/>
      <c r="BB364" s="135"/>
      <c r="BC364" s="135"/>
      <c r="BD364" s="135"/>
      <c r="BE364" s="135"/>
      <c r="BF364" s="135"/>
      <c r="BG364" s="135"/>
      <c r="BH364" s="135"/>
      <c r="BI364" s="135"/>
      <c r="BJ364" s="135"/>
      <c r="BK364" s="135"/>
      <c r="BL364" s="135"/>
      <c r="BM364" s="135"/>
      <c r="BN364" s="135"/>
      <c r="BO364" s="135"/>
      <c r="BP364" s="135"/>
      <c r="BQ364" s="135"/>
      <c r="BR364" s="135"/>
      <c r="BS364" s="135"/>
      <c r="BT364" s="135"/>
      <c r="BU364" s="135"/>
      <c r="BV364" s="135"/>
      <c r="BW364" s="135"/>
      <c r="BX364" s="135"/>
      <c r="BY364" s="135"/>
      <c r="BZ364" s="135"/>
      <c r="CA364" s="135"/>
      <c r="CB364" s="135"/>
      <c r="CC364" s="135"/>
      <c r="CD364" s="135"/>
      <c r="CE364" s="135"/>
      <c r="CF364" s="135"/>
      <c r="CG364" s="135"/>
      <c r="CH364" s="135"/>
      <c r="CI364" s="135"/>
      <c r="CJ364" s="135"/>
      <c r="CK364" s="135"/>
      <c r="CL364" s="135"/>
      <c r="CM364" s="135"/>
      <c r="CN364" s="135"/>
      <c r="CO364" s="135"/>
      <c r="CP364" s="135"/>
      <c r="CQ364" s="135"/>
      <c r="CR364" s="135"/>
      <c r="CS364" s="135"/>
      <c r="CT364" s="135"/>
      <c r="CU364" s="135"/>
      <c r="CV364" s="135"/>
      <c r="CW364" s="135"/>
      <c r="CX364" s="136"/>
    </row>
    <row r="365" spans="2:102">
      <c r="B365" s="133"/>
      <c r="C365" s="135"/>
      <c r="D365" s="135"/>
      <c r="E365" s="135"/>
      <c r="F365" s="135"/>
      <c r="G365" s="135"/>
      <c r="H365" s="135" t="s">
        <v>195</v>
      </c>
      <c r="I365" s="135"/>
      <c r="J365" s="135"/>
      <c r="K365" s="135"/>
      <c r="L365" s="135"/>
      <c r="M365" s="135"/>
      <c r="N365" s="135" t="s">
        <v>196</v>
      </c>
      <c r="O365" s="135"/>
      <c r="P365" s="135"/>
      <c r="U365" s="135"/>
      <c r="Z365" s="135"/>
      <c r="AA365" s="135"/>
      <c r="AB365" s="135"/>
      <c r="AC365" s="135"/>
      <c r="AD365" s="135"/>
      <c r="AE365" s="135"/>
      <c r="AF365" s="135"/>
      <c r="AG365" s="135"/>
      <c r="AH365" s="135"/>
      <c r="AI365" s="135"/>
      <c r="AJ365" s="135"/>
      <c r="AK365" s="135"/>
      <c r="AL365" s="135"/>
      <c r="AM365" s="135"/>
      <c r="AN365" s="135"/>
      <c r="AO365" s="135"/>
      <c r="AP365" s="135"/>
      <c r="AQ365" s="135"/>
      <c r="AR365" s="135"/>
      <c r="AS365" s="135"/>
      <c r="AT365" s="135"/>
      <c r="AU365" s="135"/>
      <c r="AV365" s="135"/>
      <c r="AW365" s="135"/>
      <c r="AX365" s="135"/>
      <c r="AY365" s="135"/>
      <c r="AZ365" s="135"/>
      <c r="BA365" s="135"/>
      <c r="BB365" s="135"/>
      <c r="BC365" s="135"/>
      <c r="BD365" s="135"/>
      <c r="BE365" s="135"/>
      <c r="BF365" s="135"/>
      <c r="BG365" s="135"/>
      <c r="BH365" s="135"/>
      <c r="BI365" s="135"/>
      <c r="BJ365" s="135"/>
      <c r="BK365" s="135"/>
      <c r="BL365" s="135"/>
      <c r="BM365" s="135"/>
      <c r="BN365" s="135"/>
      <c r="BO365" s="135"/>
      <c r="BP365" s="135"/>
      <c r="BQ365" s="135"/>
      <c r="BR365" s="135"/>
      <c r="BS365" s="135"/>
      <c r="BT365" s="135"/>
      <c r="BU365" s="135"/>
      <c r="BV365" s="135"/>
      <c r="BW365" s="135"/>
      <c r="BX365" s="135"/>
      <c r="BY365" s="135"/>
      <c r="BZ365" s="135"/>
      <c r="CA365" s="135"/>
      <c r="CB365" s="135"/>
      <c r="CC365" s="135"/>
      <c r="CD365" s="135"/>
      <c r="CE365" s="135"/>
      <c r="CF365" s="135"/>
      <c r="CG365" s="135"/>
      <c r="CH365" s="135"/>
      <c r="CI365" s="135"/>
      <c r="CJ365" s="135"/>
      <c r="CK365" s="135"/>
      <c r="CL365" s="135"/>
      <c r="CM365" s="135"/>
      <c r="CN365" s="135"/>
      <c r="CO365" s="135"/>
      <c r="CP365" s="135"/>
      <c r="CQ365" s="135"/>
      <c r="CR365" s="135"/>
      <c r="CS365" s="135"/>
      <c r="CT365" s="135"/>
      <c r="CU365" s="135"/>
      <c r="CV365" s="135"/>
      <c r="CW365" s="135"/>
      <c r="CX365" s="136"/>
    </row>
    <row r="366" spans="2:102">
      <c r="B366" s="133"/>
      <c r="C366" s="135"/>
      <c r="D366" s="135"/>
      <c r="E366" s="135"/>
      <c r="F366" s="135"/>
      <c r="G366" s="135"/>
      <c r="H366" s="135" t="s">
        <v>197</v>
      </c>
      <c r="I366" s="135"/>
      <c r="J366" s="135"/>
      <c r="K366" s="135"/>
      <c r="L366" s="135"/>
      <c r="M366" s="135"/>
      <c r="N366" s="135" t="s">
        <v>198</v>
      </c>
      <c r="O366" s="135"/>
      <c r="P366" s="135"/>
      <c r="V366" s="135"/>
      <c r="W366" s="135"/>
      <c r="X366" s="135"/>
      <c r="Y366" s="135"/>
      <c r="Z366" s="135"/>
      <c r="AA366" s="135"/>
      <c r="AB366" s="135"/>
      <c r="AC366" s="135"/>
      <c r="AD366" s="135"/>
      <c r="AE366" s="135"/>
      <c r="AF366" s="135"/>
      <c r="AG366" s="135"/>
      <c r="AH366" s="135"/>
      <c r="AI366" s="135"/>
      <c r="AJ366" s="135"/>
      <c r="AK366" s="135"/>
      <c r="AL366" s="135"/>
      <c r="AM366" s="135"/>
      <c r="AN366" s="135"/>
      <c r="AO366" s="135"/>
      <c r="AP366" s="135"/>
      <c r="AQ366" s="135"/>
      <c r="AR366" s="135"/>
      <c r="AS366" s="135"/>
      <c r="AT366" s="135"/>
      <c r="AU366" s="135"/>
      <c r="AV366" s="135"/>
      <c r="AW366" s="135"/>
      <c r="AX366" s="135"/>
      <c r="AY366" s="135"/>
      <c r="AZ366" s="135"/>
      <c r="BA366" s="135"/>
      <c r="BB366" s="135"/>
      <c r="BC366" s="135"/>
      <c r="BD366" s="135"/>
      <c r="BE366" s="135"/>
      <c r="BF366" s="135"/>
      <c r="BG366" s="135"/>
      <c r="BH366" s="135"/>
      <c r="BI366" s="135"/>
      <c r="BJ366" s="135"/>
      <c r="BK366" s="135"/>
      <c r="BL366" s="135"/>
      <c r="BM366" s="135"/>
      <c r="BN366" s="135"/>
      <c r="BO366" s="135"/>
      <c r="BP366" s="135"/>
      <c r="BQ366" s="135"/>
      <c r="BR366" s="135"/>
      <c r="BS366" s="135"/>
      <c r="BT366" s="135"/>
      <c r="BU366" s="135"/>
      <c r="BV366" s="135"/>
      <c r="BW366" s="135"/>
      <c r="BX366" s="135"/>
      <c r="BY366" s="135"/>
      <c r="BZ366" s="135"/>
      <c r="CA366" s="135"/>
      <c r="CB366" s="135"/>
      <c r="CC366" s="135"/>
      <c r="CD366" s="135"/>
      <c r="CE366" s="135"/>
      <c r="CF366" s="135"/>
      <c r="CG366" s="135"/>
      <c r="CH366" s="135"/>
      <c r="CI366" s="135"/>
      <c r="CJ366" s="135"/>
      <c r="CK366" s="135"/>
      <c r="CL366" s="135"/>
      <c r="CM366" s="135"/>
      <c r="CN366" s="135"/>
      <c r="CO366" s="135"/>
      <c r="CP366" s="135"/>
      <c r="CQ366" s="135"/>
      <c r="CR366" s="135"/>
      <c r="CS366" s="135"/>
      <c r="CT366" s="135"/>
      <c r="CU366" s="135"/>
      <c r="CV366" s="135"/>
      <c r="CW366" s="135"/>
      <c r="CX366" s="136"/>
    </row>
    <row r="367" spans="2:102">
      <c r="B367" s="133"/>
      <c r="C367" s="135"/>
      <c r="D367" s="135"/>
      <c r="E367" s="135"/>
      <c r="F367" s="135"/>
      <c r="G367" s="135"/>
      <c r="H367" s="135" t="s">
        <v>199</v>
      </c>
      <c r="I367" s="135"/>
      <c r="J367" s="135"/>
      <c r="K367" s="135"/>
      <c r="L367" s="135"/>
      <c r="M367" s="135"/>
      <c r="N367" s="135" t="s">
        <v>200</v>
      </c>
      <c r="O367" s="135"/>
      <c r="P367" s="135"/>
      <c r="V367" s="135"/>
      <c r="W367" s="135"/>
      <c r="X367" s="135"/>
      <c r="Y367" s="135"/>
      <c r="Z367" s="135"/>
      <c r="AA367" s="135"/>
      <c r="AB367" s="135"/>
      <c r="AC367" s="135"/>
      <c r="AD367" s="135"/>
      <c r="AE367" s="135"/>
      <c r="AF367" s="135"/>
      <c r="AG367" s="135"/>
      <c r="AH367" s="135"/>
      <c r="AI367" s="135"/>
      <c r="AJ367" s="135"/>
      <c r="AK367" s="135"/>
      <c r="AL367" s="135"/>
      <c r="AM367" s="135"/>
      <c r="AN367" s="135"/>
      <c r="AO367" s="135"/>
      <c r="AP367" s="135"/>
      <c r="AQ367" s="135"/>
      <c r="AR367" s="135"/>
      <c r="AS367" s="135"/>
      <c r="AT367" s="135"/>
      <c r="AU367" s="135"/>
      <c r="AV367" s="135"/>
      <c r="AW367" s="135"/>
      <c r="AX367" s="135"/>
      <c r="AY367" s="135"/>
      <c r="AZ367" s="135"/>
      <c r="BA367" s="135"/>
      <c r="BB367" s="135"/>
      <c r="BC367" s="135"/>
      <c r="BD367" s="135"/>
      <c r="BE367" s="135"/>
      <c r="BF367" s="135"/>
      <c r="BG367" s="135"/>
      <c r="BH367" s="135"/>
      <c r="BI367" s="135"/>
      <c r="BJ367" s="135"/>
      <c r="BK367" s="135"/>
      <c r="BL367" s="135"/>
      <c r="BM367" s="135"/>
      <c r="BN367" s="135"/>
      <c r="BO367" s="135"/>
      <c r="BP367" s="135"/>
      <c r="BQ367" s="135"/>
      <c r="BR367" s="135"/>
      <c r="BS367" s="135"/>
      <c r="BT367" s="135"/>
      <c r="BU367" s="135"/>
      <c r="BV367" s="135"/>
      <c r="BW367" s="135"/>
      <c r="BX367" s="135"/>
      <c r="BY367" s="135"/>
      <c r="BZ367" s="135"/>
      <c r="CA367" s="135"/>
      <c r="CB367" s="135"/>
      <c r="CC367" s="135"/>
      <c r="CD367" s="135"/>
      <c r="CE367" s="135"/>
      <c r="CF367" s="135"/>
      <c r="CG367" s="135"/>
      <c r="CH367" s="135"/>
      <c r="CI367" s="135"/>
      <c r="CJ367" s="135"/>
      <c r="CK367" s="135"/>
      <c r="CL367" s="135"/>
      <c r="CM367" s="135"/>
      <c r="CN367" s="135"/>
      <c r="CO367" s="135"/>
      <c r="CP367" s="135"/>
      <c r="CQ367" s="135"/>
      <c r="CR367" s="135"/>
      <c r="CS367" s="135"/>
      <c r="CT367" s="135"/>
      <c r="CU367" s="135"/>
      <c r="CV367" s="135"/>
      <c r="CW367" s="135"/>
      <c r="CX367" s="136"/>
    </row>
    <row r="368" spans="2:102">
      <c r="B368" s="133"/>
      <c r="C368" s="135"/>
      <c r="D368" s="135"/>
      <c r="E368" s="135"/>
      <c r="F368" s="135"/>
      <c r="G368" s="135"/>
      <c r="H368" s="135" t="s">
        <v>201</v>
      </c>
      <c r="I368" s="135"/>
      <c r="J368" s="135"/>
      <c r="K368" s="135"/>
      <c r="L368" s="135"/>
      <c r="M368" s="135"/>
      <c r="N368" s="135" t="s">
        <v>202</v>
      </c>
      <c r="V368" s="135"/>
      <c r="W368" s="135"/>
      <c r="X368" s="135"/>
      <c r="Y368" s="135"/>
      <c r="Z368" s="135"/>
      <c r="AA368" s="135"/>
      <c r="AB368" s="135"/>
      <c r="AC368" s="135"/>
      <c r="AD368" s="135"/>
      <c r="AE368" s="135"/>
      <c r="AF368" s="135"/>
      <c r="AG368" s="135"/>
      <c r="AH368" s="135"/>
      <c r="AI368" s="135"/>
      <c r="AJ368" s="135"/>
      <c r="AK368" s="135"/>
      <c r="AL368" s="135"/>
      <c r="AM368" s="135"/>
      <c r="AN368" s="135"/>
      <c r="AO368" s="135"/>
      <c r="AP368" s="135"/>
      <c r="AQ368" s="135"/>
      <c r="AR368" s="135"/>
      <c r="AS368" s="135"/>
      <c r="AT368" s="135"/>
      <c r="AU368" s="135"/>
      <c r="AV368" s="135"/>
      <c r="AW368" s="135"/>
      <c r="AX368" s="135"/>
      <c r="AY368" s="135"/>
      <c r="AZ368" s="135"/>
      <c r="BA368" s="135"/>
      <c r="BB368" s="135"/>
      <c r="BC368" s="135"/>
      <c r="BD368" s="135"/>
      <c r="BE368" s="135"/>
      <c r="BF368" s="135"/>
      <c r="BG368" s="135"/>
      <c r="BH368" s="135"/>
      <c r="BI368" s="135"/>
      <c r="BJ368" s="135"/>
      <c r="BK368" s="135"/>
      <c r="BL368" s="135"/>
      <c r="BM368" s="135"/>
      <c r="BN368" s="135"/>
      <c r="BO368" s="135"/>
      <c r="BP368" s="135"/>
      <c r="BQ368" s="135"/>
      <c r="BR368" s="135"/>
      <c r="BS368" s="135"/>
      <c r="BT368" s="135"/>
      <c r="BU368" s="135"/>
      <c r="BV368" s="135"/>
      <c r="BW368" s="135"/>
      <c r="BX368" s="135"/>
      <c r="BY368" s="135"/>
      <c r="BZ368" s="135"/>
      <c r="CA368" s="135"/>
      <c r="CB368" s="135"/>
      <c r="CC368" s="135"/>
      <c r="CD368" s="135"/>
      <c r="CE368" s="135"/>
      <c r="CF368" s="135"/>
      <c r="CG368" s="135"/>
      <c r="CH368" s="135"/>
      <c r="CI368" s="135"/>
      <c r="CJ368" s="135"/>
      <c r="CK368" s="135"/>
      <c r="CL368" s="135"/>
      <c r="CM368" s="135"/>
      <c r="CN368" s="135"/>
      <c r="CO368" s="135"/>
      <c r="CP368" s="135"/>
      <c r="CQ368" s="135"/>
      <c r="CR368" s="135"/>
      <c r="CS368" s="135"/>
      <c r="CT368" s="135"/>
      <c r="CU368" s="135"/>
      <c r="CV368" s="135"/>
      <c r="CW368" s="135"/>
      <c r="CX368" s="136"/>
    </row>
    <row r="369" spans="2:102">
      <c r="B369" s="133"/>
      <c r="C369" s="135"/>
      <c r="D369" s="135"/>
      <c r="E369" s="135"/>
      <c r="F369" s="135"/>
      <c r="G369" s="135"/>
      <c r="H369" s="135" t="s">
        <v>203</v>
      </c>
      <c r="I369" s="135"/>
      <c r="J369" s="135"/>
      <c r="K369" s="135"/>
      <c r="L369" s="135"/>
      <c r="M369" s="135"/>
      <c r="N369" s="135" t="s">
        <v>204</v>
      </c>
      <c r="W369" s="135"/>
      <c r="X369" s="135"/>
      <c r="Y369" s="135"/>
      <c r="Z369" s="135"/>
      <c r="AA369" s="135"/>
      <c r="AB369" s="135"/>
      <c r="AC369" s="135"/>
      <c r="AD369" s="135"/>
      <c r="AE369" s="135"/>
      <c r="AF369" s="135"/>
      <c r="AG369" s="135"/>
      <c r="AH369" s="135"/>
      <c r="AI369" s="135"/>
      <c r="AJ369" s="135"/>
      <c r="AK369" s="135"/>
      <c r="AL369" s="135"/>
      <c r="AM369" s="135"/>
      <c r="AN369" s="135"/>
      <c r="AO369" s="135"/>
      <c r="AP369" s="135"/>
      <c r="AQ369" s="135"/>
      <c r="AR369" s="135"/>
      <c r="AS369" s="135"/>
      <c r="AT369" s="135"/>
      <c r="AU369" s="135"/>
      <c r="AV369" s="135"/>
      <c r="AW369" s="135"/>
      <c r="AX369" s="135"/>
      <c r="AY369" s="135"/>
      <c r="AZ369" s="135"/>
      <c r="BA369" s="135"/>
      <c r="BB369" s="135"/>
      <c r="BC369" s="135"/>
      <c r="BD369" s="135"/>
      <c r="BE369" s="135"/>
      <c r="BF369" s="135"/>
      <c r="BG369" s="135"/>
      <c r="BH369" s="135"/>
      <c r="BI369" s="135"/>
      <c r="BJ369" s="135"/>
      <c r="BK369" s="135"/>
      <c r="BL369" s="135"/>
      <c r="BM369" s="135"/>
      <c r="BN369" s="135"/>
      <c r="BO369" s="135"/>
      <c r="BP369" s="135"/>
      <c r="BQ369" s="135"/>
      <c r="BR369" s="135"/>
      <c r="BS369" s="135"/>
      <c r="BT369" s="135"/>
      <c r="BU369" s="135"/>
      <c r="BV369" s="135"/>
      <c r="BW369" s="135"/>
      <c r="BX369" s="135"/>
      <c r="BY369" s="135"/>
      <c r="BZ369" s="135"/>
      <c r="CA369" s="135"/>
      <c r="CB369" s="135"/>
      <c r="CC369" s="135"/>
      <c r="CD369" s="135"/>
      <c r="CE369" s="135"/>
      <c r="CF369" s="135"/>
      <c r="CG369" s="135"/>
      <c r="CH369" s="135"/>
      <c r="CI369" s="135"/>
      <c r="CJ369" s="135"/>
      <c r="CK369" s="135"/>
      <c r="CL369" s="135"/>
      <c r="CM369" s="135"/>
      <c r="CN369" s="135"/>
      <c r="CO369" s="135"/>
      <c r="CP369" s="135"/>
      <c r="CQ369" s="135"/>
      <c r="CR369" s="135"/>
      <c r="CS369" s="135"/>
      <c r="CT369" s="135"/>
      <c r="CU369" s="135"/>
      <c r="CV369" s="135"/>
      <c r="CW369" s="135"/>
      <c r="CX369" s="136"/>
    </row>
    <row r="370" spans="2:102">
      <c r="B370" s="133"/>
      <c r="C370" s="135"/>
      <c r="D370" s="135"/>
      <c r="E370" s="135"/>
      <c r="F370" s="135"/>
      <c r="G370" s="135"/>
      <c r="H370" s="135" t="s">
        <v>205</v>
      </c>
      <c r="I370" s="135"/>
      <c r="J370" s="135"/>
      <c r="K370" s="135"/>
      <c r="L370" s="135"/>
      <c r="M370" s="135"/>
      <c r="N370" s="135" t="s">
        <v>206</v>
      </c>
      <c r="W370" s="135"/>
      <c r="X370" s="135"/>
      <c r="Y370" s="135"/>
      <c r="Z370" s="135"/>
      <c r="AA370" s="135"/>
      <c r="AB370" s="135"/>
      <c r="AC370" s="135"/>
      <c r="AD370" s="135"/>
      <c r="AE370" s="135"/>
      <c r="AF370" s="135"/>
      <c r="AG370" s="135"/>
      <c r="AH370" s="135"/>
      <c r="AI370" s="135"/>
      <c r="AJ370" s="135"/>
      <c r="AK370" s="135"/>
      <c r="AL370" s="135"/>
      <c r="AM370" s="135"/>
      <c r="AN370" s="135"/>
      <c r="AO370" s="135"/>
      <c r="AP370" s="135"/>
      <c r="AQ370" s="135"/>
      <c r="AR370" s="135"/>
      <c r="AS370" s="135"/>
      <c r="AT370" s="135"/>
      <c r="AU370" s="135"/>
      <c r="AV370" s="135"/>
      <c r="AW370" s="135"/>
      <c r="AX370" s="135"/>
      <c r="AY370" s="135"/>
      <c r="AZ370" s="135"/>
      <c r="BA370" s="135"/>
      <c r="BB370" s="135"/>
      <c r="BC370" s="135"/>
      <c r="BD370" s="135"/>
      <c r="BE370" s="135"/>
      <c r="BF370" s="135"/>
      <c r="BG370" s="135"/>
      <c r="BH370" s="135"/>
      <c r="BI370" s="135"/>
      <c r="BJ370" s="135"/>
      <c r="BK370" s="135"/>
      <c r="BL370" s="135"/>
      <c r="BM370" s="135"/>
      <c r="BN370" s="135"/>
      <c r="BO370" s="135"/>
      <c r="BP370" s="135"/>
      <c r="BQ370" s="135"/>
      <c r="BR370" s="135"/>
      <c r="BS370" s="135"/>
      <c r="BT370" s="135"/>
      <c r="BU370" s="135"/>
      <c r="BV370" s="135"/>
      <c r="BW370" s="135"/>
      <c r="BX370" s="135"/>
      <c r="BY370" s="135"/>
      <c r="BZ370" s="135"/>
      <c r="CA370" s="135"/>
      <c r="CB370" s="135"/>
      <c r="CC370" s="135"/>
      <c r="CD370" s="135"/>
      <c r="CE370" s="135"/>
      <c r="CF370" s="135"/>
      <c r="CG370" s="135"/>
      <c r="CH370" s="135"/>
      <c r="CI370" s="135"/>
      <c r="CJ370" s="135"/>
      <c r="CK370" s="135"/>
      <c r="CL370" s="135"/>
      <c r="CM370" s="135"/>
      <c r="CN370" s="135"/>
      <c r="CO370" s="135"/>
      <c r="CP370" s="135"/>
      <c r="CQ370" s="135"/>
      <c r="CR370" s="135"/>
      <c r="CS370" s="135"/>
      <c r="CT370" s="135"/>
      <c r="CU370" s="135"/>
      <c r="CV370" s="135"/>
      <c r="CW370" s="135"/>
      <c r="CX370" s="136"/>
    </row>
    <row r="371" spans="2:102">
      <c r="B371" s="130"/>
      <c r="C371" s="131"/>
      <c r="D371" s="131"/>
      <c r="E371" s="131"/>
      <c r="F371" s="131"/>
      <c r="G371" s="131"/>
      <c r="H371" s="131"/>
      <c r="I371" s="131"/>
      <c r="J371" s="131"/>
      <c r="K371" s="131"/>
      <c r="L371" s="131"/>
      <c r="M371" s="131"/>
      <c r="N371" s="131"/>
      <c r="O371" s="140"/>
      <c r="P371" s="140"/>
      <c r="Q371" s="140"/>
      <c r="R371" s="140"/>
      <c r="S371" s="140"/>
      <c r="T371" s="140"/>
      <c r="U371" s="140"/>
      <c r="V371" s="140"/>
      <c r="W371" s="131"/>
      <c r="X371" s="131"/>
      <c r="Y371" s="131"/>
      <c r="Z371" s="131"/>
      <c r="AA371" s="131"/>
      <c r="AB371" s="131"/>
      <c r="AC371" s="131"/>
      <c r="AD371" s="131"/>
      <c r="AE371" s="131"/>
      <c r="AF371" s="131"/>
      <c r="AG371" s="131"/>
      <c r="AH371" s="131"/>
      <c r="AI371" s="131"/>
      <c r="AJ371" s="131"/>
      <c r="AK371" s="131"/>
      <c r="AL371" s="131"/>
      <c r="AM371" s="131"/>
      <c r="AN371" s="131"/>
      <c r="AO371" s="131"/>
      <c r="AP371" s="131"/>
      <c r="AQ371" s="131"/>
      <c r="AR371" s="131"/>
      <c r="AS371" s="131"/>
      <c r="AT371" s="131"/>
      <c r="AU371" s="131"/>
      <c r="AV371" s="131"/>
      <c r="AW371" s="131"/>
      <c r="AX371" s="131"/>
      <c r="AY371" s="131"/>
      <c r="AZ371" s="131"/>
      <c r="BA371" s="131"/>
      <c r="BB371" s="131"/>
      <c r="BC371" s="131"/>
      <c r="BD371" s="131"/>
      <c r="BE371" s="131"/>
      <c r="BF371" s="131"/>
      <c r="BG371" s="131"/>
      <c r="BH371" s="131"/>
      <c r="BI371" s="131"/>
      <c r="BJ371" s="131"/>
      <c r="BK371" s="131"/>
      <c r="BL371" s="131"/>
      <c r="BM371" s="131"/>
      <c r="BN371" s="131"/>
      <c r="BO371" s="131"/>
      <c r="BP371" s="131"/>
      <c r="BQ371" s="131"/>
      <c r="BR371" s="131"/>
      <c r="BS371" s="131"/>
      <c r="BT371" s="131"/>
      <c r="BU371" s="131"/>
      <c r="BV371" s="131"/>
      <c r="BW371" s="131"/>
      <c r="BX371" s="131"/>
      <c r="BY371" s="131"/>
      <c r="BZ371" s="131"/>
      <c r="CA371" s="131"/>
      <c r="CB371" s="131"/>
      <c r="CC371" s="131"/>
      <c r="CD371" s="131"/>
      <c r="CE371" s="131"/>
      <c r="CF371" s="131"/>
      <c r="CG371" s="131"/>
      <c r="CH371" s="131"/>
      <c r="CI371" s="131"/>
      <c r="CJ371" s="131"/>
      <c r="CK371" s="131"/>
      <c r="CL371" s="131"/>
      <c r="CM371" s="131"/>
      <c r="CN371" s="131"/>
      <c r="CO371" s="131"/>
      <c r="CP371" s="131"/>
      <c r="CQ371" s="131"/>
      <c r="CR371" s="131"/>
      <c r="CS371" s="131"/>
      <c r="CT371" s="131"/>
      <c r="CU371" s="131"/>
      <c r="CV371" s="131"/>
      <c r="CW371" s="131"/>
      <c r="CX371" s="132"/>
    </row>
    <row r="372" spans="2:102">
      <c r="B372" s="133"/>
      <c r="C372" s="135"/>
      <c r="D372" s="135"/>
      <c r="E372" s="135"/>
      <c r="F372" s="135"/>
      <c r="G372" s="135"/>
      <c r="H372" s="135"/>
      <c r="I372" s="135"/>
      <c r="J372" s="135"/>
      <c r="K372" s="135"/>
      <c r="L372" s="135"/>
      <c r="M372" s="135"/>
      <c r="N372" s="135"/>
      <c r="W372" s="135"/>
      <c r="X372" s="135"/>
      <c r="Y372" s="135"/>
      <c r="Z372" s="135"/>
      <c r="AA372" s="135"/>
      <c r="AB372" s="135"/>
      <c r="AC372" s="135"/>
      <c r="AD372" s="135"/>
      <c r="AE372" s="135"/>
      <c r="AF372" s="135"/>
      <c r="AG372" s="135"/>
      <c r="AH372" s="135"/>
      <c r="AI372" s="135"/>
      <c r="AJ372" s="135"/>
      <c r="AK372" s="135"/>
      <c r="AL372" s="135"/>
      <c r="AM372" s="135"/>
      <c r="AN372" s="135"/>
      <c r="AO372" s="135"/>
      <c r="AP372" s="135"/>
      <c r="AQ372" s="135"/>
      <c r="AR372" s="135"/>
      <c r="AS372" s="135"/>
      <c r="AT372" s="135"/>
      <c r="AU372" s="135"/>
      <c r="AV372" s="135"/>
      <c r="AW372" s="135"/>
      <c r="AX372" s="135"/>
      <c r="AY372" s="135"/>
      <c r="AZ372" s="135"/>
      <c r="BA372" s="135"/>
      <c r="BB372" s="135"/>
      <c r="BC372" s="135"/>
      <c r="BD372" s="135"/>
      <c r="BE372" s="135"/>
      <c r="BF372" s="135"/>
      <c r="BG372" s="135"/>
      <c r="BH372" s="135"/>
      <c r="BI372" s="135"/>
      <c r="BJ372" s="135"/>
      <c r="BK372" s="135"/>
      <c r="BL372" s="135"/>
      <c r="BM372" s="135"/>
      <c r="BN372" s="135"/>
      <c r="BO372" s="135"/>
      <c r="BP372" s="135"/>
      <c r="BQ372" s="135"/>
      <c r="BR372" s="135"/>
      <c r="BS372" s="135"/>
      <c r="BT372" s="135"/>
      <c r="BU372" s="135"/>
      <c r="BV372" s="135"/>
      <c r="BW372" s="135"/>
      <c r="BX372" s="135"/>
      <c r="BY372" s="135"/>
      <c r="BZ372" s="135"/>
      <c r="CA372" s="135"/>
      <c r="CB372" s="135"/>
      <c r="CC372" s="135"/>
      <c r="CD372" s="135"/>
      <c r="CE372" s="135"/>
      <c r="CF372" s="135"/>
      <c r="CG372" s="135"/>
      <c r="CH372" s="135"/>
      <c r="CI372" s="135"/>
      <c r="CJ372" s="135"/>
      <c r="CK372" s="135"/>
      <c r="CL372" s="135"/>
      <c r="CM372" s="135"/>
      <c r="CN372" s="135"/>
      <c r="CO372" s="135"/>
      <c r="CP372" s="135"/>
      <c r="CQ372" s="135"/>
      <c r="CR372" s="135"/>
      <c r="CS372" s="135"/>
      <c r="CT372" s="135"/>
      <c r="CU372" s="135"/>
      <c r="CV372" s="135"/>
      <c r="CW372" s="135"/>
      <c r="CX372" s="136"/>
    </row>
    <row r="373" spans="2:102">
      <c r="B373" s="133"/>
      <c r="C373" s="135"/>
      <c r="D373" s="135"/>
      <c r="E373" s="135"/>
      <c r="F373" s="135"/>
      <c r="G373" s="135"/>
      <c r="H373" s="135" t="s">
        <v>207</v>
      </c>
      <c r="I373" s="135"/>
      <c r="J373" s="135"/>
      <c r="K373" s="135"/>
      <c r="L373" s="135"/>
      <c r="M373" s="135"/>
      <c r="N373" s="135" t="s">
        <v>208</v>
      </c>
      <c r="W373" s="135"/>
      <c r="X373" s="135"/>
      <c r="Y373" s="135"/>
      <c r="Z373" s="135"/>
      <c r="AA373" s="135"/>
      <c r="AB373" s="135"/>
      <c r="AC373" s="135"/>
      <c r="AD373" s="135"/>
      <c r="AE373" s="135"/>
      <c r="AF373" s="135"/>
      <c r="AG373" s="135"/>
      <c r="AH373" s="135"/>
      <c r="AI373" s="135"/>
      <c r="AJ373" s="135"/>
      <c r="AK373" s="135"/>
      <c r="AL373" s="135"/>
      <c r="AM373" s="135"/>
      <c r="AN373" s="135"/>
      <c r="AO373" s="135"/>
      <c r="AP373" s="135"/>
      <c r="AQ373" s="135"/>
      <c r="AR373" s="135"/>
      <c r="AS373" s="135"/>
      <c r="AT373" s="135"/>
      <c r="AU373" s="135"/>
      <c r="AV373" s="135"/>
      <c r="AW373" s="135"/>
      <c r="AX373" s="135"/>
      <c r="AY373" s="135"/>
      <c r="AZ373" s="135"/>
      <c r="BA373" s="135"/>
      <c r="BB373" s="135"/>
      <c r="BC373" s="135"/>
      <c r="BD373" s="135"/>
      <c r="BE373" s="135"/>
      <c r="BF373" s="135"/>
      <c r="BG373" s="135"/>
      <c r="BH373" s="135"/>
      <c r="BI373" s="135"/>
      <c r="BJ373" s="135"/>
      <c r="BK373" s="135"/>
      <c r="BL373" s="135"/>
      <c r="BM373" s="135"/>
      <c r="BN373" s="135"/>
      <c r="BO373" s="135"/>
      <c r="BP373" s="135"/>
      <c r="BQ373" s="135"/>
      <c r="BR373" s="135"/>
      <c r="BS373" s="135"/>
      <c r="BT373" s="135"/>
      <c r="BU373" s="135"/>
      <c r="BV373" s="135"/>
      <c r="BW373" s="135"/>
      <c r="BX373" s="135"/>
      <c r="BY373" s="135"/>
      <c r="BZ373" s="135"/>
      <c r="CA373" s="135"/>
      <c r="CB373" s="135"/>
      <c r="CC373" s="135"/>
      <c r="CD373" s="135"/>
      <c r="CE373" s="135"/>
      <c r="CF373" s="135"/>
      <c r="CG373" s="135"/>
      <c r="CH373" s="135"/>
      <c r="CI373" s="135"/>
      <c r="CJ373" s="135"/>
      <c r="CK373" s="135"/>
      <c r="CL373" s="135"/>
      <c r="CM373" s="135"/>
      <c r="CN373" s="135"/>
      <c r="CO373" s="135"/>
      <c r="CP373" s="135"/>
      <c r="CQ373" s="135"/>
      <c r="CR373" s="135"/>
      <c r="CS373" s="135"/>
      <c r="CT373" s="135"/>
      <c r="CU373" s="135"/>
      <c r="CV373" s="135"/>
      <c r="CW373" s="135"/>
      <c r="CX373" s="136"/>
    </row>
    <row r="374" spans="2:102">
      <c r="B374" s="133"/>
      <c r="C374" s="135"/>
      <c r="D374" s="135"/>
      <c r="E374" s="135"/>
      <c r="F374" s="135"/>
      <c r="G374" s="135"/>
      <c r="H374" s="135" t="s">
        <v>209</v>
      </c>
      <c r="I374" s="135"/>
      <c r="J374" s="135"/>
      <c r="K374" s="135"/>
      <c r="L374" s="135"/>
      <c r="M374" s="135"/>
      <c r="N374" s="135" t="s">
        <v>210</v>
      </c>
      <c r="W374" s="135"/>
      <c r="X374" s="135"/>
      <c r="Y374" s="135"/>
      <c r="Z374" s="135"/>
      <c r="AA374" s="135"/>
      <c r="AB374" s="135"/>
      <c r="AC374" s="135"/>
      <c r="AD374" s="135"/>
      <c r="AE374" s="135"/>
      <c r="AF374" s="135"/>
      <c r="AG374" s="135"/>
      <c r="AH374" s="135"/>
      <c r="AI374" s="135"/>
      <c r="AJ374" s="135"/>
      <c r="AK374" s="135"/>
      <c r="AL374" s="135"/>
      <c r="AM374" s="135"/>
      <c r="AN374" s="135"/>
      <c r="AO374" s="135"/>
      <c r="AP374" s="135"/>
      <c r="AQ374" s="135"/>
      <c r="AR374" s="135"/>
      <c r="AS374" s="135"/>
      <c r="AT374" s="135"/>
      <c r="AU374" s="135"/>
      <c r="AV374" s="135"/>
      <c r="AW374" s="135"/>
      <c r="AX374" s="135"/>
      <c r="AY374" s="135"/>
      <c r="AZ374" s="135"/>
      <c r="BA374" s="135"/>
      <c r="BB374" s="135"/>
      <c r="BC374" s="135"/>
      <c r="BD374" s="135"/>
      <c r="BE374" s="135"/>
      <c r="BF374" s="135"/>
      <c r="BG374" s="135"/>
      <c r="BH374" s="135"/>
      <c r="BI374" s="135"/>
      <c r="BJ374" s="135"/>
      <c r="BK374" s="135"/>
      <c r="BL374" s="135"/>
      <c r="BM374" s="135"/>
      <c r="BN374" s="135"/>
      <c r="BO374" s="135"/>
      <c r="BP374" s="135"/>
      <c r="BQ374" s="135"/>
      <c r="BR374" s="135"/>
      <c r="BS374" s="135"/>
      <c r="BT374" s="135"/>
      <c r="BU374" s="135"/>
      <c r="BV374" s="135"/>
      <c r="BW374" s="135"/>
      <c r="BX374" s="135"/>
      <c r="BY374" s="135"/>
      <c r="BZ374" s="135"/>
      <c r="CA374" s="135"/>
      <c r="CB374" s="135"/>
      <c r="CC374" s="135"/>
      <c r="CD374" s="135"/>
      <c r="CE374" s="135"/>
      <c r="CF374" s="135"/>
      <c r="CG374" s="135"/>
      <c r="CH374" s="135"/>
      <c r="CI374" s="135"/>
      <c r="CJ374" s="135"/>
      <c r="CK374" s="135"/>
      <c r="CL374" s="135"/>
      <c r="CM374" s="135"/>
      <c r="CN374" s="135"/>
      <c r="CO374" s="135"/>
      <c r="CP374" s="135"/>
      <c r="CQ374" s="135"/>
      <c r="CR374" s="135"/>
      <c r="CS374" s="135"/>
      <c r="CT374" s="135"/>
      <c r="CU374" s="135"/>
      <c r="CV374" s="135"/>
      <c r="CW374" s="135"/>
      <c r="CX374" s="136"/>
    </row>
    <row r="375" spans="2:102">
      <c r="B375" s="133"/>
      <c r="C375" s="135"/>
      <c r="D375" s="135"/>
      <c r="E375" s="135"/>
      <c r="F375" s="135"/>
      <c r="G375" s="135"/>
      <c r="U375" s="135"/>
      <c r="V375" s="135"/>
      <c r="W375" s="135"/>
      <c r="X375" s="135"/>
      <c r="Y375" s="135"/>
      <c r="Z375" s="135"/>
      <c r="AA375" s="135"/>
      <c r="AB375" s="135"/>
      <c r="AC375" s="135"/>
      <c r="AD375" s="135"/>
      <c r="AE375" s="135"/>
      <c r="AF375" s="135"/>
      <c r="AG375" s="135"/>
      <c r="AH375" s="135"/>
      <c r="AI375" s="135"/>
      <c r="AJ375" s="135"/>
      <c r="AK375" s="135"/>
      <c r="AL375" s="135"/>
      <c r="AM375" s="135"/>
      <c r="AN375" s="135"/>
      <c r="AO375" s="135"/>
      <c r="AP375" s="135"/>
      <c r="AQ375" s="135"/>
      <c r="AR375" s="135"/>
      <c r="AS375" s="135"/>
      <c r="AT375" s="135"/>
      <c r="AU375" s="135"/>
      <c r="AV375" s="135"/>
      <c r="AW375" s="135"/>
      <c r="AX375" s="135"/>
      <c r="AY375" s="135"/>
      <c r="AZ375" s="135"/>
      <c r="BA375" s="135"/>
      <c r="BB375" s="135"/>
      <c r="BC375" s="135"/>
      <c r="BD375" s="135"/>
      <c r="BE375" s="135"/>
      <c r="BF375" s="135"/>
      <c r="BG375" s="135"/>
      <c r="BH375" s="135"/>
      <c r="BI375" s="135"/>
      <c r="BJ375" s="135"/>
      <c r="BK375" s="135"/>
      <c r="BL375" s="135"/>
      <c r="BM375" s="135"/>
      <c r="BN375" s="135"/>
      <c r="BO375" s="135"/>
      <c r="BP375" s="135"/>
      <c r="BQ375" s="135"/>
      <c r="BR375" s="135"/>
      <c r="BS375" s="135"/>
      <c r="BT375" s="135"/>
      <c r="BU375" s="135"/>
      <c r="BV375" s="135"/>
      <c r="BW375" s="135"/>
      <c r="BX375" s="135"/>
      <c r="BY375" s="135"/>
      <c r="BZ375" s="135"/>
      <c r="CA375" s="135"/>
      <c r="CB375" s="135"/>
      <c r="CC375" s="135"/>
      <c r="CD375" s="135"/>
      <c r="CE375" s="135"/>
      <c r="CF375" s="135"/>
      <c r="CG375" s="135"/>
      <c r="CH375" s="135"/>
      <c r="CI375" s="135"/>
      <c r="CJ375" s="135"/>
      <c r="CK375" s="135"/>
      <c r="CL375" s="135"/>
      <c r="CM375" s="135"/>
      <c r="CN375" s="135"/>
      <c r="CO375" s="135"/>
      <c r="CP375" s="135"/>
      <c r="CQ375" s="135"/>
      <c r="CR375" s="135"/>
      <c r="CS375" s="135"/>
      <c r="CT375" s="135"/>
      <c r="CU375" s="135"/>
      <c r="CV375" s="135"/>
      <c r="CW375" s="135"/>
      <c r="CX375" s="136"/>
    </row>
    <row r="376" spans="2:102">
      <c r="B376" s="133"/>
      <c r="C376" s="135"/>
      <c r="D376" s="135"/>
      <c r="E376" s="135"/>
      <c r="F376" s="135"/>
      <c r="H376" s="135" t="s">
        <v>131</v>
      </c>
      <c r="I376" s="135"/>
      <c r="J376" s="135"/>
      <c r="K376" s="135"/>
      <c r="L376" s="135"/>
      <c r="M376" s="135"/>
      <c r="N376" s="135" t="s">
        <v>211</v>
      </c>
      <c r="O376" s="135"/>
      <c r="P376" s="135"/>
      <c r="Q376" s="135"/>
      <c r="S376" s="135"/>
      <c r="T376" s="135"/>
      <c r="U376" s="135"/>
      <c r="X376" s="135"/>
      <c r="Y376" s="135"/>
      <c r="Z376" s="135"/>
      <c r="AA376" s="135"/>
      <c r="AB376" s="135"/>
      <c r="AC376" s="135"/>
      <c r="AD376" s="135"/>
      <c r="AE376" s="135"/>
      <c r="AF376" s="135"/>
      <c r="AG376" s="135"/>
      <c r="AH376" s="135"/>
      <c r="AI376" s="135"/>
      <c r="AJ376" s="135"/>
      <c r="AK376" s="135"/>
      <c r="AL376" s="135"/>
      <c r="AM376" s="135"/>
      <c r="AN376" s="135"/>
      <c r="AO376" s="135"/>
      <c r="AP376" s="135"/>
      <c r="AQ376" s="135"/>
      <c r="AR376" s="135"/>
      <c r="AS376" s="135"/>
      <c r="AT376" s="135"/>
      <c r="AU376" s="135"/>
      <c r="AV376" s="135"/>
      <c r="AW376" s="135"/>
      <c r="AX376" s="135"/>
      <c r="AY376" s="135"/>
      <c r="AZ376" s="135"/>
      <c r="BA376" s="135"/>
      <c r="BB376" s="135"/>
      <c r="BC376" s="135"/>
      <c r="BD376" s="135"/>
      <c r="BE376" s="135"/>
      <c r="BF376" s="135"/>
      <c r="BG376" s="135"/>
      <c r="BH376" s="135"/>
      <c r="BI376" s="135"/>
      <c r="BJ376" s="135"/>
      <c r="BK376" s="135"/>
      <c r="BL376" s="135"/>
      <c r="BM376" s="135"/>
      <c r="BN376" s="135"/>
      <c r="BO376" s="135"/>
      <c r="BP376" s="135"/>
      <c r="BQ376" s="135"/>
      <c r="BR376" s="135"/>
      <c r="BS376" s="135"/>
      <c r="BT376" s="135"/>
      <c r="BU376" s="135"/>
      <c r="BV376" s="135"/>
      <c r="BW376" s="135"/>
      <c r="BX376" s="135"/>
      <c r="BY376" s="135"/>
      <c r="BZ376" s="135"/>
      <c r="CA376" s="135"/>
      <c r="CB376" s="135"/>
      <c r="CC376" s="135"/>
      <c r="CD376" s="135"/>
      <c r="CE376" s="135"/>
      <c r="CF376" s="135"/>
      <c r="CG376" s="135"/>
      <c r="CH376" s="135"/>
      <c r="CI376" s="135"/>
      <c r="CJ376" s="135"/>
      <c r="CK376" s="135"/>
      <c r="CL376" s="135"/>
      <c r="CM376" s="135"/>
      <c r="CN376" s="135"/>
      <c r="CO376" s="135"/>
      <c r="CP376" s="135"/>
      <c r="CQ376" s="135"/>
      <c r="CR376" s="135"/>
      <c r="CS376" s="135"/>
      <c r="CT376" s="135"/>
      <c r="CU376" s="135"/>
      <c r="CV376" s="135"/>
      <c r="CW376" s="135"/>
      <c r="CX376" s="136"/>
    </row>
    <row r="377" spans="2:102">
      <c r="B377" s="133"/>
      <c r="C377" s="135"/>
      <c r="D377" s="135"/>
      <c r="E377" s="135"/>
      <c r="F377" s="135"/>
      <c r="H377" s="135" t="s">
        <v>135</v>
      </c>
      <c r="I377" s="135"/>
      <c r="J377" s="135"/>
      <c r="K377" s="135"/>
      <c r="L377" s="135"/>
      <c r="M377" s="135"/>
      <c r="N377" s="135" t="s">
        <v>212</v>
      </c>
      <c r="O377" s="135"/>
      <c r="P377" s="135"/>
      <c r="Q377" s="135"/>
      <c r="R377" s="135"/>
      <c r="T377" s="135"/>
      <c r="U377" s="135"/>
      <c r="AX377" s="135"/>
      <c r="AY377" s="135"/>
      <c r="AZ377" s="135"/>
      <c r="BA377" s="135"/>
      <c r="BB377" s="135"/>
      <c r="BC377" s="135"/>
      <c r="BD377" s="135"/>
      <c r="BE377" s="135"/>
      <c r="BF377" s="135"/>
      <c r="BG377" s="135"/>
      <c r="BH377" s="135"/>
      <c r="BI377" s="135"/>
      <c r="BJ377" s="135"/>
      <c r="BK377" s="135"/>
      <c r="BL377" s="135"/>
      <c r="BM377" s="135"/>
      <c r="BN377" s="135"/>
      <c r="BO377" s="135"/>
      <c r="BP377" s="135"/>
      <c r="BQ377" s="135"/>
      <c r="BR377" s="135"/>
      <c r="BS377" s="135"/>
      <c r="BT377" s="135"/>
      <c r="BU377" s="135"/>
      <c r="BV377" s="135"/>
      <c r="BW377" s="135"/>
      <c r="BX377" s="135"/>
      <c r="BY377" s="135"/>
      <c r="BZ377" s="135"/>
      <c r="CA377" s="135"/>
      <c r="CB377" s="135"/>
      <c r="CC377" s="135"/>
      <c r="CD377" s="135"/>
      <c r="CE377" s="135"/>
      <c r="CF377" s="135"/>
      <c r="CG377" s="135"/>
      <c r="CH377" s="135"/>
      <c r="CI377" s="135"/>
      <c r="CJ377" s="135"/>
      <c r="CK377" s="135"/>
      <c r="CL377" s="135"/>
      <c r="CM377" s="135"/>
      <c r="CN377" s="135"/>
      <c r="CO377" s="135"/>
      <c r="CP377" s="135"/>
      <c r="CQ377" s="135"/>
      <c r="CR377" s="135"/>
      <c r="CS377" s="135"/>
      <c r="CT377" s="135"/>
      <c r="CU377" s="135"/>
      <c r="CV377" s="135"/>
      <c r="CW377" s="135"/>
      <c r="CX377" s="136"/>
    </row>
    <row r="378" spans="2:102">
      <c r="B378" s="133"/>
      <c r="C378" s="135"/>
      <c r="D378" s="135"/>
      <c r="E378" s="135"/>
      <c r="F378" s="135"/>
      <c r="H378" s="135" t="s">
        <v>137</v>
      </c>
      <c r="I378" s="135"/>
      <c r="J378" s="135"/>
      <c r="K378" s="135"/>
      <c r="L378" s="135"/>
      <c r="M378" s="135"/>
      <c r="N378" s="135" t="s">
        <v>213</v>
      </c>
      <c r="O378" s="135"/>
      <c r="P378" s="135"/>
      <c r="U378" s="135"/>
      <c r="V378" s="135"/>
      <c r="W378" s="135"/>
      <c r="X378" s="135"/>
      <c r="Y378" s="135"/>
      <c r="Z378" s="135"/>
      <c r="AA378" s="135"/>
      <c r="AB378" s="135"/>
      <c r="AC378" s="135"/>
      <c r="AD378" s="135"/>
      <c r="AE378" s="135"/>
      <c r="AF378" s="135"/>
      <c r="AG378" s="135"/>
      <c r="AH378" s="135"/>
      <c r="AI378" s="135"/>
      <c r="AJ378" s="135"/>
      <c r="AK378" s="135"/>
      <c r="AL378" s="135"/>
      <c r="AM378" s="135"/>
      <c r="AN378" s="135"/>
      <c r="AO378" s="135"/>
      <c r="AP378" s="135"/>
      <c r="AQ378" s="135"/>
      <c r="AR378" s="135"/>
      <c r="AS378" s="135"/>
      <c r="AT378" s="135"/>
      <c r="AU378" s="135"/>
      <c r="AV378" s="135"/>
      <c r="AW378" s="135"/>
      <c r="AX378" s="135"/>
      <c r="AY378" s="135"/>
      <c r="AZ378" s="135"/>
      <c r="BA378" s="135"/>
      <c r="BB378" s="135"/>
      <c r="BC378" s="135"/>
      <c r="BD378" s="135"/>
      <c r="BE378" s="135"/>
      <c r="BF378" s="135"/>
      <c r="BG378" s="135"/>
      <c r="BH378" s="135"/>
      <c r="BI378" s="135"/>
      <c r="BJ378" s="135"/>
      <c r="BK378" s="135"/>
      <c r="BL378" s="135"/>
      <c r="BM378" s="135"/>
      <c r="BN378" s="135"/>
      <c r="BO378" s="135"/>
      <c r="BP378" s="135"/>
      <c r="BQ378" s="135"/>
      <c r="BR378" s="135"/>
      <c r="BS378" s="135"/>
      <c r="BT378" s="135"/>
      <c r="BU378" s="135"/>
      <c r="BV378" s="135"/>
      <c r="BW378" s="135"/>
      <c r="BX378" s="135"/>
      <c r="BY378" s="135"/>
      <c r="BZ378" s="135"/>
      <c r="CA378" s="135"/>
      <c r="CB378" s="135"/>
      <c r="CC378" s="135"/>
      <c r="CD378" s="135"/>
      <c r="CE378" s="135"/>
      <c r="CF378" s="135"/>
      <c r="CG378" s="135"/>
      <c r="CH378" s="135"/>
      <c r="CI378" s="135"/>
      <c r="CJ378" s="135"/>
      <c r="CK378" s="135"/>
      <c r="CL378" s="135"/>
      <c r="CM378" s="135"/>
      <c r="CN378" s="135"/>
      <c r="CO378" s="135"/>
      <c r="CP378" s="135"/>
      <c r="CQ378" s="135"/>
      <c r="CR378" s="135"/>
      <c r="CS378" s="135"/>
      <c r="CT378" s="135"/>
      <c r="CU378" s="135"/>
      <c r="CV378" s="135"/>
      <c r="CW378" s="135"/>
      <c r="CX378" s="136"/>
    </row>
    <row r="379" spans="2:102">
      <c r="B379" s="133"/>
      <c r="C379" s="135"/>
      <c r="D379" s="135"/>
      <c r="E379" s="135"/>
      <c r="F379" s="135"/>
      <c r="H379" s="135" t="s">
        <v>139</v>
      </c>
      <c r="N379" s="103" t="s">
        <v>214</v>
      </c>
      <c r="U379" s="135"/>
      <c r="V379" s="135"/>
      <c r="W379" s="135"/>
      <c r="X379" s="135"/>
      <c r="Y379" s="135"/>
      <c r="Z379" s="135"/>
      <c r="AA379" s="135"/>
      <c r="AB379" s="135"/>
      <c r="AC379" s="135"/>
      <c r="AD379" s="135"/>
      <c r="AE379" s="135"/>
      <c r="AF379" s="135"/>
      <c r="AG379" s="135"/>
      <c r="AH379" s="135"/>
      <c r="AI379" s="135"/>
      <c r="AJ379" s="135"/>
      <c r="AK379" s="135"/>
      <c r="AL379" s="135"/>
      <c r="AM379" s="135"/>
      <c r="AN379" s="135"/>
      <c r="AO379" s="135"/>
      <c r="AP379" s="135"/>
      <c r="AQ379" s="135"/>
      <c r="AR379" s="135"/>
      <c r="AS379" s="135"/>
      <c r="AT379" s="135"/>
      <c r="AU379" s="135"/>
      <c r="AV379" s="135"/>
      <c r="AW379" s="135"/>
      <c r="AX379" s="135"/>
      <c r="AY379" s="135"/>
      <c r="AZ379" s="135"/>
      <c r="BA379" s="135"/>
      <c r="BB379" s="135"/>
      <c r="BC379" s="135"/>
      <c r="BD379" s="135"/>
      <c r="BE379" s="135"/>
      <c r="BF379" s="135"/>
      <c r="BG379" s="135"/>
      <c r="BH379" s="135"/>
      <c r="BI379" s="135"/>
      <c r="BJ379" s="135"/>
      <c r="BK379" s="135"/>
      <c r="BL379" s="135"/>
      <c r="BM379" s="135"/>
      <c r="BN379" s="135"/>
      <c r="BO379" s="135"/>
      <c r="BP379" s="135"/>
      <c r="BQ379" s="135"/>
      <c r="BR379" s="135"/>
      <c r="BS379" s="135"/>
      <c r="BT379" s="135"/>
      <c r="BU379" s="135"/>
      <c r="BV379" s="135"/>
      <c r="BW379" s="135"/>
      <c r="BX379" s="135"/>
      <c r="BY379" s="135"/>
      <c r="BZ379" s="135"/>
      <c r="CA379" s="135"/>
      <c r="CB379" s="135"/>
      <c r="CC379" s="135"/>
      <c r="CD379" s="135"/>
      <c r="CE379" s="135"/>
      <c r="CF379" s="135"/>
      <c r="CG379" s="135"/>
      <c r="CH379" s="135"/>
      <c r="CI379" s="135"/>
      <c r="CJ379" s="135"/>
      <c r="CK379" s="135"/>
      <c r="CL379" s="135"/>
      <c r="CM379" s="135"/>
      <c r="CN379" s="135"/>
      <c r="CO379" s="135"/>
      <c r="CP379" s="135"/>
      <c r="CQ379" s="135"/>
      <c r="CR379" s="135"/>
      <c r="CS379" s="135"/>
      <c r="CT379" s="135"/>
      <c r="CU379" s="135"/>
      <c r="CV379" s="135"/>
      <c r="CW379" s="135"/>
      <c r="CX379" s="136"/>
    </row>
    <row r="380" spans="2:102">
      <c r="B380" s="133"/>
      <c r="C380" s="135"/>
      <c r="D380" s="135"/>
      <c r="E380" s="135"/>
      <c r="F380" s="135"/>
      <c r="H380" s="135" t="s">
        <v>215</v>
      </c>
      <c r="I380" s="135"/>
      <c r="J380" s="135"/>
      <c r="K380" s="135"/>
      <c r="L380" s="135"/>
      <c r="M380" s="135"/>
      <c r="N380" s="135" t="s">
        <v>216</v>
      </c>
      <c r="O380" s="135"/>
      <c r="P380" s="135"/>
      <c r="U380" s="135"/>
      <c r="V380" s="135"/>
      <c r="W380" s="135"/>
      <c r="X380" s="135"/>
      <c r="Y380" s="135"/>
      <c r="Z380" s="135"/>
      <c r="AA380" s="135"/>
      <c r="AB380" s="135"/>
      <c r="AC380" s="135"/>
      <c r="AD380" s="135"/>
      <c r="AE380" s="135"/>
      <c r="AF380" s="135"/>
      <c r="AG380" s="135"/>
      <c r="AH380" s="135"/>
      <c r="AI380" s="135"/>
      <c r="AJ380" s="135"/>
      <c r="AK380" s="135"/>
      <c r="AL380" s="135"/>
      <c r="AM380" s="135"/>
      <c r="AN380" s="135"/>
      <c r="AO380" s="135"/>
      <c r="AP380" s="135"/>
      <c r="AQ380" s="135"/>
      <c r="AR380" s="135"/>
      <c r="AS380" s="135"/>
      <c r="AT380" s="135"/>
      <c r="AU380" s="135"/>
      <c r="AV380" s="135"/>
      <c r="AW380" s="135"/>
      <c r="AX380" s="135"/>
      <c r="AY380" s="135"/>
      <c r="AZ380" s="135"/>
      <c r="BA380" s="135"/>
      <c r="BB380" s="135"/>
      <c r="BC380" s="135"/>
      <c r="BD380" s="135"/>
      <c r="BE380" s="135"/>
      <c r="BF380" s="135"/>
      <c r="BG380" s="135"/>
      <c r="BH380" s="135"/>
      <c r="BI380" s="135"/>
      <c r="BJ380" s="135"/>
      <c r="BK380" s="135"/>
      <c r="BL380" s="135"/>
      <c r="BM380" s="135"/>
      <c r="BN380" s="135"/>
      <c r="BO380" s="135"/>
      <c r="BP380" s="135"/>
      <c r="BQ380" s="135"/>
      <c r="BR380" s="135"/>
      <c r="BS380" s="135"/>
      <c r="BT380" s="135"/>
      <c r="BU380" s="135"/>
      <c r="BV380" s="135"/>
      <c r="BW380" s="135"/>
      <c r="BX380" s="135"/>
      <c r="BY380" s="135"/>
      <c r="BZ380" s="135"/>
      <c r="CA380" s="135"/>
      <c r="CB380" s="135"/>
      <c r="CC380" s="135"/>
      <c r="CD380" s="135"/>
      <c r="CE380" s="135"/>
      <c r="CF380" s="135"/>
      <c r="CG380" s="135"/>
      <c r="CH380" s="135"/>
      <c r="CI380" s="135"/>
      <c r="CJ380" s="135"/>
      <c r="CK380" s="135"/>
      <c r="CL380" s="135"/>
      <c r="CM380" s="135"/>
      <c r="CN380" s="135"/>
      <c r="CO380" s="135"/>
      <c r="CP380" s="135"/>
      <c r="CQ380" s="135"/>
      <c r="CR380" s="135"/>
      <c r="CS380" s="135"/>
      <c r="CT380" s="135"/>
      <c r="CU380" s="135"/>
      <c r="CV380" s="135"/>
      <c r="CW380" s="135"/>
      <c r="CX380" s="136"/>
    </row>
    <row r="381" spans="2:102">
      <c r="B381" s="133"/>
      <c r="C381" s="135"/>
      <c r="D381" s="135"/>
      <c r="E381" s="135"/>
      <c r="F381" s="135"/>
      <c r="G381" s="135"/>
      <c r="H381" s="135" t="s">
        <v>217</v>
      </c>
      <c r="I381" s="135"/>
      <c r="J381" s="135"/>
      <c r="K381" s="135"/>
      <c r="L381" s="135"/>
      <c r="M381" s="135"/>
      <c r="N381" s="135" t="s">
        <v>218</v>
      </c>
      <c r="O381" s="135"/>
      <c r="P381" s="135"/>
      <c r="Q381" s="135"/>
      <c r="R381" s="135"/>
      <c r="S381" s="135"/>
      <c r="V381" s="135"/>
      <c r="W381" s="135"/>
      <c r="X381" s="135"/>
      <c r="Y381" s="135"/>
      <c r="Z381" s="135"/>
      <c r="AA381" s="135"/>
      <c r="AB381" s="135"/>
      <c r="AC381" s="135"/>
      <c r="AD381" s="135"/>
      <c r="AE381" s="135"/>
      <c r="AF381" s="135"/>
      <c r="AG381" s="135"/>
      <c r="AH381" s="135"/>
      <c r="AI381" s="135"/>
      <c r="AJ381" s="135"/>
      <c r="AK381" s="135"/>
      <c r="AL381" s="135"/>
      <c r="AM381" s="135"/>
      <c r="AN381" s="135"/>
      <c r="AO381" s="135"/>
      <c r="AP381" s="135"/>
      <c r="AQ381" s="135"/>
      <c r="AR381" s="135"/>
      <c r="AS381" s="135"/>
      <c r="AT381" s="135"/>
      <c r="AU381" s="135"/>
      <c r="AV381" s="135"/>
      <c r="AW381" s="135"/>
      <c r="AX381" s="135"/>
      <c r="AY381" s="135"/>
      <c r="AZ381" s="135"/>
      <c r="BA381" s="135"/>
      <c r="BB381" s="135"/>
      <c r="BC381" s="135"/>
      <c r="BD381" s="135"/>
      <c r="BE381" s="135"/>
      <c r="BF381" s="135"/>
      <c r="BG381" s="135"/>
      <c r="BH381" s="135"/>
      <c r="BI381" s="135"/>
      <c r="BJ381" s="135"/>
      <c r="BK381" s="135"/>
      <c r="BL381" s="135"/>
      <c r="BM381" s="135"/>
      <c r="BN381" s="135"/>
      <c r="BO381" s="135"/>
      <c r="BP381" s="135"/>
      <c r="BQ381" s="135"/>
      <c r="BR381" s="135"/>
      <c r="BS381" s="135"/>
      <c r="BT381" s="135"/>
      <c r="BU381" s="135"/>
      <c r="BV381" s="135"/>
      <c r="BW381" s="135"/>
      <c r="BX381" s="135"/>
      <c r="BY381" s="135"/>
      <c r="BZ381" s="135"/>
      <c r="CA381" s="135"/>
      <c r="CB381" s="135"/>
      <c r="CC381" s="135"/>
      <c r="CD381" s="135"/>
      <c r="CE381" s="135"/>
      <c r="CF381" s="135"/>
      <c r="CG381" s="135"/>
      <c r="CH381" s="135"/>
      <c r="CI381" s="135"/>
      <c r="CJ381" s="135"/>
      <c r="CK381" s="135"/>
      <c r="CL381" s="135"/>
      <c r="CM381" s="135"/>
      <c r="CN381" s="135"/>
      <c r="CO381" s="135"/>
      <c r="CP381" s="135"/>
      <c r="CQ381" s="135"/>
      <c r="CR381" s="135"/>
      <c r="CS381" s="135"/>
      <c r="CT381" s="135"/>
      <c r="CU381" s="135"/>
      <c r="CV381" s="135"/>
      <c r="CW381" s="135"/>
      <c r="CX381" s="136"/>
    </row>
    <row r="382" spans="2:102">
      <c r="B382" s="133"/>
      <c r="C382" s="135"/>
      <c r="D382" s="135"/>
      <c r="E382" s="135"/>
      <c r="F382" s="135"/>
      <c r="G382" s="135"/>
      <c r="H382" s="135" t="s">
        <v>219</v>
      </c>
      <c r="I382" s="135"/>
      <c r="J382" s="135"/>
      <c r="K382" s="135"/>
      <c r="L382" s="135"/>
      <c r="M382" s="135"/>
      <c r="N382" s="135" t="s">
        <v>220</v>
      </c>
      <c r="O382" s="135"/>
      <c r="P382" s="135"/>
      <c r="Q382" s="135"/>
      <c r="R382" s="135"/>
      <c r="S382" s="135"/>
      <c r="V382" s="135"/>
      <c r="W382" s="135"/>
      <c r="X382" s="135"/>
      <c r="Y382" s="135"/>
      <c r="Z382" s="135"/>
      <c r="AA382" s="135"/>
      <c r="AB382" s="135"/>
      <c r="AC382" s="135"/>
      <c r="AD382" s="135"/>
      <c r="AE382" s="135"/>
      <c r="AF382" s="135"/>
      <c r="AG382" s="135"/>
      <c r="AH382" s="135"/>
      <c r="AI382" s="135"/>
      <c r="AJ382" s="135"/>
      <c r="AK382" s="135"/>
      <c r="AL382" s="135"/>
      <c r="AM382" s="135"/>
      <c r="AN382" s="135"/>
      <c r="AO382" s="135"/>
      <c r="AP382" s="135"/>
      <c r="AQ382" s="135"/>
      <c r="AR382" s="135"/>
      <c r="AS382" s="135"/>
      <c r="AT382" s="135"/>
      <c r="AU382" s="135"/>
      <c r="AV382" s="135"/>
      <c r="AW382" s="135"/>
      <c r="AX382" s="135"/>
      <c r="AY382" s="135"/>
      <c r="AZ382" s="135"/>
      <c r="BA382" s="135"/>
      <c r="BB382" s="135"/>
      <c r="BC382" s="135"/>
      <c r="BD382" s="135"/>
      <c r="BE382" s="135"/>
      <c r="BF382" s="135"/>
      <c r="BG382" s="135"/>
      <c r="BH382" s="135"/>
      <c r="BI382" s="135"/>
      <c r="BJ382" s="135"/>
      <c r="BK382" s="135"/>
      <c r="BL382" s="135"/>
      <c r="BM382" s="135"/>
      <c r="BN382" s="135"/>
      <c r="BO382" s="135"/>
      <c r="BP382" s="135"/>
      <c r="BQ382" s="135"/>
      <c r="BR382" s="135"/>
      <c r="BS382" s="135"/>
      <c r="BT382" s="135"/>
      <c r="BU382" s="135"/>
      <c r="BV382" s="135"/>
      <c r="BW382" s="135"/>
      <c r="BX382" s="135"/>
      <c r="BY382" s="135"/>
      <c r="BZ382" s="135"/>
      <c r="CA382" s="135"/>
      <c r="CB382" s="135"/>
      <c r="CC382" s="135"/>
      <c r="CD382" s="135"/>
      <c r="CE382" s="135"/>
      <c r="CF382" s="135"/>
      <c r="CG382" s="135"/>
      <c r="CH382" s="135"/>
      <c r="CI382" s="135"/>
      <c r="CJ382" s="135"/>
      <c r="CK382" s="135"/>
      <c r="CL382" s="135"/>
      <c r="CM382" s="135"/>
      <c r="CN382" s="135"/>
      <c r="CO382" s="135"/>
      <c r="CP382" s="135"/>
      <c r="CQ382" s="135"/>
      <c r="CR382" s="135"/>
      <c r="CS382" s="135"/>
      <c r="CT382" s="135"/>
      <c r="CU382" s="135"/>
      <c r="CV382" s="135"/>
      <c r="CW382" s="135"/>
      <c r="CX382" s="136"/>
    </row>
    <row r="383" spans="2:102">
      <c r="B383" s="133"/>
      <c r="C383" s="135"/>
      <c r="D383" s="135"/>
      <c r="E383" s="135"/>
      <c r="F383" s="135"/>
      <c r="G383" s="135"/>
      <c r="H383" s="135" t="s">
        <v>221</v>
      </c>
      <c r="I383" s="135"/>
      <c r="J383" s="135"/>
      <c r="K383" s="135"/>
      <c r="L383" s="135"/>
      <c r="M383" s="135"/>
      <c r="N383" s="135" t="s">
        <v>222</v>
      </c>
      <c r="O383" s="135"/>
      <c r="P383" s="135"/>
      <c r="Q383" s="135"/>
      <c r="R383" s="135"/>
      <c r="S383" s="135"/>
      <c r="V383" s="135"/>
      <c r="W383" s="135"/>
      <c r="X383" s="135"/>
      <c r="Y383" s="135"/>
      <c r="Z383" s="135"/>
      <c r="AA383" s="135"/>
      <c r="AB383" s="135"/>
      <c r="AC383" s="135"/>
      <c r="AD383" s="135"/>
      <c r="AE383" s="135"/>
      <c r="AF383" s="135"/>
      <c r="AG383" s="135"/>
      <c r="AH383" s="135"/>
      <c r="AI383" s="135"/>
      <c r="AJ383" s="135"/>
      <c r="AK383" s="135"/>
      <c r="AL383" s="135"/>
      <c r="AM383" s="135"/>
      <c r="AN383" s="135"/>
      <c r="AO383" s="135"/>
      <c r="AP383" s="135"/>
      <c r="AQ383" s="135"/>
      <c r="AR383" s="135"/>
      <c r="AS383" s="135"/>
      <c r="AT383" s="135"/>
      <c r="AU383" s="135"/>
      <c r="AV383" s="135"/>
      <c r="AW383" s="135"/>
      <c r="AX383" s="135"/>
      <c r="AY383" s="135"/>
      <c r="AZ383" s="135"/>
      <c r="BA383" s="135"/>
      <c r="BB383" s="135"/>
      <c r="BC383" s="135"/>
      <c r="BD383" s="135"/>
      <c r="BE383" s="135"/>
      <c r="BF383" s="135"/>
      <c r="BG383" s="135"/>
      <c r="BH383" s="135"/>
      <c r="BI383" s="135"/>
      <c r="BJ383" s="135"/>
      <c r="BK383" s="135"/>
      <c r="BL383" s="135"/>
      <c r="BM383" s="135"/>
      <c r="BN383" s="135"/>
      <c r="BO383" s="135"/>
      <c r="BP383" s="135"/>
      <c r="BQ383" s="135"/>
      <c r="BR383" s="135"/>
      <c r="BS383" s="135"/>
      <c r="BT383" s="135"/>
      <c r="BU383" s="135"/>
      <c r="BV383" s="135"/>
      <c r="BW383" s="135"/>
      <c r="BX383" s="135"/>
      <c r="BY383" s="135"/>
      <c r="BZ383" s="135"/>
      <c r="CA383" s="135"/>
      <c r="CB383" s="135"/>
      <c r="CC383" s="135"/>
      <c r="CD383" s="135"/>
      <c r="CE383" s="135"/>
      <c r="CF383" s="135"/>
      <c r="CG383" s="135"/>
      <c r="CH383" s="135"/>
      <c r="CI383" s="135"/>
      <c r="CJ383" s="135"/>
      <c r="CK383" s="135"/>
      <c r="CL383" s="135"/>
      <c r="CM383" s="135"/>
      <c r="CN383" s="135"/>
      <c r="CO383" s="135"/>
      <c r="CP383" s="135"/>
      <c r="CQ383" s="135"/>
      <c r="CR383" s="135"/>
      <c r="CS383" s="135"/>
      <c r="CT383" s="135"/>
      <c r="CU383" s="135"/>
      <c r="CV383" s="135"/>
      <c r="CW383" s="135"/>
      <c r="CX383" s="136"/>
    </row>
    <row r="384" spans="2:102">
      <c r="B384" s="133"/>
      <c r="C384" s="135"/>
      <c r="D384" s="135"/>
      <c r="E384" s="135"/>
      <c r="F384" s="135"/>
      <c r="G384" s="135"/>
      <c r="H384" s="135"/>
      <c r="I384" s="135"/>
      <c r="J384" s="135"/>
      <c r="K384" s="135"/>
      <c r="L384" s="135"/>
      <c r="M384" s="135"/>
      <c r="N384" s="135"/>
      <c r="O384" s="135"/>
      <c r="P384" s="135"/>
      <c r="Q384" s="135"/>
      <c r="R384" s="135"/>
      <c r="S384" s="135"/>
      <c r="V384" s="135"/>
      <c r="W384" s="135"/>
      <c r="X384" s="135"/>
      <c r="Y384" s="135"/>
      <c r="Z384" s="135"/>
      <c r="AA384" s="135"/>
      <c r="AB384" s="135"/>
      <c r="AC384" s="135"/>
      <c r="AD384" s="135"/>
      <c r="AE384" s="135"/>
      <c r="AF384" s="135"/>
      <c r="AG384" s="135"/>
      <c r="AH384" s="135"/>
      <c r="AI384" s="135"/>
      <c r="AJ384" s="135"/>
      <c r="AK384" s="135"/>
      <c r="AL384" s="135"/>
      <c r="AM384" s="135"/>
      <c r="AN384" s="135"/>
      <c r="AO384" s="135"/>
      <c r="AP384" s="135"/>
      <c r="AQ384" s="135"/>
      <c r="AR384" s="135"/>
      <c r="AS384" s="135"/>
      <c r="AT384" s="135"/>
      <c r="AU384" s="135"/>
      <c r="AV384" s="135"/>
      <c r="AW384" s="135"/>
      <c r="AX384" s="135"/>
      <c r="AY384" s="135"/>
      <c r="AZ384" s="135"/>
      <c r="BA384" s="135"/>
      <c r="BB384" s="135"/>
      <c r="BC384" s="135"/>
      <c r="BD384" s="135"/>
      <c r="BE384" s="135"/>
      <c r="BF384" s="135"/>
      <c r="BG384" s="135"/>
      <c r="BH384" s="135"/>
      <c r="BI384" s="135"/>
      <c r="BJ384" s="135"/>
      <c r="BK384" s="135"/>
      <c r="BL384" s="135"/>
      <c r="BM384" s="135"/>
      <c r="BN384" s="135"/>
      <c r="BO384" s="135"/>
      <c r="BP384" s="135"/>
      <c r="BQ384" s="135"/>
      <c r="BR384" s="135"/>
      <c r="BS384" s="135"/>
      <c r="BT384" s="135"/>
      <c r="BU384" s="135"/>
      <c r="BV384" s="135"/>
      <c r="BW384" s="135"/>
      <c r="BX384" s="135"/>
      <c r="BY384" s="135"/>
      <c r="BZ384" s="135"/>
      <c r="CA384" s="135"/>
      <c r="CB384" s="135"/>
      <c r="CC384" s="135"/>
      <c r="CD384" s="135"/>
      <c r="CE384" s="135"/>
      <c r="CF384" s="135"/>
      <c r="CG384" s="135"/>
      <c r="CH384" s="135"/>
      <c r="CI384" s="135"/>
      <c r="CJ384" s="135"/>
      <c r="CK384" s="135"/>
      <c r="CL384" s="135"/>
      <c r="CM384" s="135"/>
      <c r="CN384" s="135"/>
      <c r="CO384" s="135"/>
      <c r="CP384" s="135"/>
      <c r="CQ384" s="135"/>
      <c r="CR384" s="135"/>
      <c r="CS384" s="135"/>
      <c r="CT384" s="135"/>
      <c r="CU384" s="135"/>
      <c r="CV384" s="135"/>
      <c r="CW384" s="135"/>
      <c r="CX384" s="136"/>
    </row>
    <row r="385" spans="2:102">
      <c r="B385" s="133"/>
      <c r="C385" s="135"/>
      <c r="D385" s="135"/>
      <c r="E385" s="135"/>
      <c r="F385" s="135"/>
      <c r="G385" s="135"/>
      <c r="H385" s="135"/>
      <c r="I385" s="135"/>
      <c r="J385" s="135"/>
      <c r="K385" s="135"/>
      <c r="L385" s="135"/>
      <c r="M385" s="135"/>
      <c r="N385" s="135"/>
      <c r="O385" s="135"/>
      <c r="P385" s="135"/>
      <c r="Q385" s="135"/>
      <c r="R385" s="135"/>
      <c r="S385" s="135"/>
      <c r="V385" s="135"/>
      <c r="W385" s="135"/>
      <c r="X385" s="135"/>
      <c r="Y385" s="135"/>
      <c r="Z385" s="135"/>
      <c r="AA385" s="135"/>
      <c r="AB385" s="135"/>
      <c r="AC385" s="135"/>
      <c r="AD385" s="135"/>
      <c r="AE385" s="135"/>
      <c r="AF385" s="135"/>
      <c r="AG385" s="135"/>
      <c r="AH385" s="135"/>
      <c r="AI385" s="135"/>
      <c r="AJ385" s="135"/>
      <c r="AK385" s="135"/>
      <c r="AL385" s="135"/>
      <c r="AM385" s="135"/>
      <c r="AN385" s="135"/>
      <c r="AO385" s="135"/>
      <c r="AP385" s="135"/>
      <c r="AQ385" s="135"/>
      <c r="AR385" s="135"/>
      <c r="AS385" s="135"/>
      <c r="AT385" s="135"/>
      <c r="AU385" s="135"/>
      <c r="AV385" s="135"/>
      <c r="AW385" s="135"/>
      <c r="AX385" s="135"/>
      <c r="AY385" s="135"/>
      <c r="AZ385" s="135"/>
      <c r="BA385" s="135"/>
      <c r="BB385" s="135"/>
      <c r="BC385" s="135"/>
      <c r="BD385" s="135"/>
      <c r="BE385" s="135"/>
      <c r="BF385" s="135"/>
      <c r="BG385" s="135"/>
      <c r="BH385" s="135"/>
      <c r="BI385" s="135"/>
      <c r="BJ385" s="135"/>
      <c r="BK385" s="135"/>
      <c r="BL385" s="135"/>
      <c r="BM385" s="135"/>
      <c r="BN385" s="135"/>
      <c r="BO385" s="135"/>
      <c r="BP385" s="135"/>
      <c r="BQ385" s="135"/>
      <c r="BR385" s="135"/>
      <c r="BS385" s="135"/>
      <c r="BT385" s="135"/>
      <c r="BU385" s="135"/>
      <c r="BV385" s="135"/>
      <c r="BW385" s="135"/>
      <c r="BX385" s="135"/>
      <c r="BY385" s="135"/>
      <c r="BZ385" s="135"/>
      <c r="CA385" s="135"/>
      <c r="CB385" s="135"/>
      <c r="CC385" s="135"/>
      <c r="CD385" s="135"/>
      <c r="CE385" s="135"/>
      <c r="CF385" s="135"/>
      <c r="CG385" s="135"/>
      <c r="CH385" s="135"/>
      <c r="CI385" s="135"/>
      <c r="CJ385" s="135"/>
      <c r="CK385" s="135"/>
      <c r="CL385" s="135"/>
      <c r="CM385" s="135"/>
      <c r="CN385" s="135"/>
      <c r="CO385" s="135"/>
      <c r="CP385" s="135"/>
      <c r="CQ385" s="135"/>
      <c r="CR385" s="135"/>
      <c r="CS385" s="135"/>
      <c r="CT385" s="135"/>
      <c r="CU385" s="135"/>
      <c r="CV385" s="135"/>
      <c r="CW385" s="135"/>
      <c r="CX385" s="136"/>
    </row>
    <row r="386" spans="2:102">
      <c r="B386" s="133"/>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c r="AB386" s="135"/>
      <c r="AC386" s="135"/>
      <c r="AD386" s="135"/>
      <c r="AE386" s="135"/>
      <c r="AF386" s="135"/>
      <c r="AG386" s="135"/>
      <c r="AH386" s="135"/>
      <c r="AI386" s="135"/>
      <c r="AJ386" s="135"/>
      <c r="AK386" s="135"/>
      <c r="AL386" s="135"/>
      <c r="AM386" s="135"/>
      <c r="AN386" s="135"/>
      <c r="AO386" s="135"/>
      <c r="AP386" s="135"/>
      <c r="AQ386" s="135"/>
      <c r="AR386" s="135"/>
      <c r="AS386" s="135"/>
      <c r="AT386" s="135"/>
      <c r="AU386" s="135"/>
      <c r="AV386" s="135"/>
      <c r="AW386" s="135"/>
      <c r="AX386" s="135"/>
      <c r="AY386" s="135"/>
      <c r="AZ386" s="135"/>
      <c r="BA386" s="135"/>
      <c r="BB386" s="135"/>
      <c r="BC386" s="135"/>
      <c r="BD386" s="135"/>
      <c r="BE386" s="135"/>
      <c r="BF386" s="135"/>
      <c r="BG386" s="135"/>
      <c r="BH386" s="135"/>
      <c r="BI386" s="135"/>
      <c r="BJ386" s="135"/>
      <c r="BK386" s="135"/>
      <c r="BL386" s="135"/>
      <c r="BM386" s="135"/>
      <c r="BN386" s="135"/>
      <c r="BO386" s="135"/>
      <c r="BP386" s="135"/>
      <c r="BQ386" s="135"/>
      <c r="BR386" s="135"/>
      <c r="BS386" s="135"/>
      <c r="BT386" s="135"/>
      <c r="BU386" s="135"/>
      <c r="BV386" s="135"/>
      <c r="BW386" s="135"/>
      <c r="BX386" s="135"/>
      <c r="BY386" s="135"/>
      <c r="BZ386" s="135"/>
      <c r="CA386" s="135"/>
      <c r="CB386" s="135"/>
      <c r="CC386" s="135"/>
      <c r="CD386" s="135"/>
      <c r="CE386" s="135"/>
      <c r="CF386" s="135"/>
      <c r="CG386" s="135"/>
      <c r="CH386" s="135"/>
      <c r="CI386" s="135"/>
      <c r="CJ386" s="135"/>
      <c r="CK386" s="135"/>
      <c r="CL386" s="135"/>
      <c r="CM386" s="135"/>
      <c r="CN386" s="135"/>
      <c r="CO386" s="135"/>
      <c r="CP386" s="135"/>
      <c r="CQ386" s="135"/>
      <c r="CR386" s="135"/>
      <c r="CS386" s="135"/>
      <c r="CT386" s="135"/>
      <c r="CU386" s="135"/>
      <c r="CV386" s="135"/>
      <c r="CW386" s="135"/>
      <c r="CX386" s="136"/>
    </row>
    <row r="387" spans="2:102">
      <c r="B387" s="133"/>
      <c r="C387" s="135"/>
      <c r="D387" s="135"/>
      <c r="E387" s="137" t="s">
        <v>223</v>
      </c>
      <c r="F387" s="138"/>
      <c r="G387" s="138"/>
      <c r="H387" s="138" t="s">
        <v>224</v>
      </c>
      <c r="I387" s="138"/>
      <c r="J387" s="138"/>
      <c r="K387" s="138"/>
      <c r="L387" s="138"/>
      <c r="M387" s="135"/>
      <c r="N387" s="135"/>
      <c r="O387" s="135"/>
      <c r="P387" s="135"/>
      <c r="Q387" s="135"/>
      <c r="R387" s="135"/>
      <c r="S387" s="135"/>
      <c r="T387" s="135"/>
      <c r="U387" s="135"/>
      <c r="V387" s="135"/>
      <c r="W387" s="135"/>
      <c r="X387" s="135"/>
      <c r="Y387" s="135"/>
      <c r="Z387" s="135"/>
      <c r="AA387" s="135"/>
      <c r="AB387" s="135"/>
      <c r="AC387" s="135"/>
      <c r="AD387" s="135"/>
      <c r="AE387" s="135"/>
      <c r="AF387" s="135"/>
      <c r="AG387" s="135"/>
      <c r="AH387" s="135"/>
      <c r="AI387" s="135"/>
      <c r="AJ387" s="135"/>
      <c r="AK387" s="135"/>
      <c r="AL387" s="135"/>
      <c r="AM387" s="135"/>
      <c r="AN387" s="135"/>
      <c r="AO387" s="135"/>
      <c r="AP387" s="135"/>
      <c r="AQ387" s="135"/>
      <c r="AR387" s="135"/>
      <c r="AS387" s="135"/>
      <c r="AT387" s="135"/>
      <c r="AU387" s="135"/>
      <c r="AV387" s="135"/>
      <c r="AW387" s="135"/>
      <c r="AX387" s="135"/>
      <c r="AY387" s="135"/>
      <c r="AZ387" s="135"/>
      <c r="BA387" s="135"/>
      <c r="BB387" s="135"/>
      <c r="BC387" s="135"/>
      <c r="BD387" s="135"/>
      <c r="BE387" s="135"/>
      <c r="BF387" s="135"/>
      <c r="BG387" s="135"/>
      <c r="BH387" s="135"/>
      <c r="BI387" s="135"/>
      <c r="BJ387" s="135"/>
      <c r="BK387" s="135"/>
      <c r="BL387" s="135"/>
      <c r="BM387" s="135"/>
      <c r="BN387" s="135"/>
      <c r="BO387" s="135"/>
      <c r="BP387" s="135"/>
      <c r="BQ387" s="135"/>
      <c r="BR387" s="135"/>
      <c r="BS387" s="135"/>
      <c r="BT387" s="135"/>
      <c r="BU387" s="135"/>
      <c r="BV387" s="135"/>
      <c r="BW387" s="135"/>
      <c r="BX387" s="135"/>
      <c r="BY387" s="135"/>
      <c r="BZ387" s="135"/>
      <c r="CA387" s="135"/>
      <c r="CB387" s="135"/>
      <c r="CC387" s="135"/>
      <c r="CD387" s="135"/>
      <c r="CE387" s="135"/>
      <c r="CF387" s="135"/>
      <c r="CG387" s="135"/>
      <c r="CH387" s="135"/>
      <c r="CI387" s="135"/>
      <c r="CJ387" s="135"/>
      <c r="CK387" s="135"/>
      <c r="CL387" s="135"/>
      <c r="CM387" s="135"/>
      <c r="CN387" s="135"/>
      <c r="CO387" s="135"/>
      <c r="CP387" s="135"/>
      <c r="CQ387" s="135"/>
      <c r="CR387" s="135"/>
      <c r="CS387" s="135"/>
      <c r="CT387" s="135"/>
      <c r="CU387" s="135"/>
      <c r="CV387" s="135"/>
      <c r="CW387" s="135"/>
      <c r="CX387" s="136"/>
    </row>
    <row r="388" spans="2:102">
      <c r="B388" s="133"/>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c r="AB388" s="135"/>
      <c r="AC388" s="135"/>
      <c r="AD388" s="135"/>
      <c r="AE388" s="135"/>
      <c r="AF388" s="135"/>
      <c r="AG388" s="135"/>
      <c r="AH388" s="135"/>
      <c r="AI388" s="135"/>
      <c r="AJ388" s="135"/>
      <c r="AK388" s="135"/>
      <c r="AL388" s="135"/>
      <c r="AM388" s="135"/>
      <c r="AN388" s="135"/>
      <c r="AO388" s="135"/>
      <c r="AP388" s="135"/>
      <c r="AQ388" s="135"/>
      <c r="AR388" s="135"/>
      <c r="AS388" s="135"/>
      <c r="AT388" s="135"/>
      <c r="AU388" s="135"/>
      <c r="AV388" s="135"/>
      <c r="AW388" s="135"/>
      <c r="AX388" s="135"/>
      <c r="AY388" s="135"/>
      <c r="AZ388" s="135"/>
      <c r="BA388" s="135"/>
      <c r="BB388" s="135"/>
      <c r="BC388" s="135"/>
      <c r="BD388" s="135"/>
      <c r="BE388" s="135"/>
      <c r="BF388" s="135"/>
      <c r="BG388" s="135"/>
      <c r="BH388" s="135"/>
      <c r="BI388" s="135"/>
      <c r="BJ388" s="135"/>
      <c r="BK388" s="135"/>
      <c r="BL388" s="135"/>
      <c r="BM388" s="135"/>
      <c r="BN388" s="135"/>
      <c r="BO388" s="135"/>
      <c r="BP388" s="135"/>
      <c r="BQ388" s="135"/>
      <c r="BR388" s="135"/>
      <c r="BS388" s="135"/>
      <c r="BT388" s="135"/>
      <c r="BU388" s="135"/>
      <c r="BV388" s="135"/>
      <c r="BW388" s="135"/>
      <c r="BX388" s="135"/>
      <c r="BY388" s="135"/>
      <c r="BZ388" s="135"/>
      <c r="CA388" s="135"/>
      <c r="CB388" s="135"/>
      <c r="CC388" s="135"/>
      <c r="CD388" s="135"/>
      <c r="CE388" s="135"/>
      <c r="CF388" s="135"/>
      <c r="CG388" s="135"/>
      <c r="CH388" s="135"/>
      <c r="CI388" s="135"/>
      <c r="CJ388" s="135"/>
      <c r="CK388" s="135"/>
      <c r="CL388" s="135"/>
      <c r="CM388" s="135"/>
      <c r="CN388" s="135"/>
      <c r="CO388" s="135"/>
      <c r="CP388" s="135"/>
      <c r="CQ388" s="135"/>
      <c r="CR388" s="135"/>
      <c r="CS388" s="135"/>
      <c r="CT388" s="135"/>
      <c r="CU388" s="135"/>
      <c r="CV388" s="135"/>
      <c r="CW388" s="135"/>
      <c r="CX388" s="136"/>
    </row>
    <row r="389" spans="2:102">
      <c r="B389" s="133"/>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c r="AB389" s="135"/>
      <c r="AC389" s="135"/>
      <c r="AD389" s="135"/>
      <c r="AE389" s="135"/>
      <c r="AF389" s="135"/>
      <c r="AG389" s="135"/>
      <c r="AH389" s="135"/>
      <c r="AI389" s="135"/>
      <c r="AJ389" s="135"/>
      <c r="AK389" s="135"/>
      <c r="AL389" s="135"/>
      <c r="AM389" s="135"/>
      <c r="AN389" s="135"/>
      <c r="AO389" s="135"/>
      <c r="AP389" s="135"/>
      <c r="AQ389" s="135"/>
      <c r="AR389" s="135"/>
      <c r="AS389" s="135"/>
      <c r="AT389" s="135"/>
      <c r="AU389" s="135"/>
      <c r="AV389" s="135"/>
      <c r="AW389" s="135"/>
      <c r="AX389" s="135"/>
      <c r="AY389" s="135"/>
      <c r="AZ389" s="135"/>
      <c r="BA389" s="135"/>
      <c r="BB389" s="135"/>
      <c r="BC389" s="135"/>
      <c r="BD389" s="135"/>
      <c r="BE389" s="135"/>
      <c r="BF389" s="135"/>
      <c r="BG389" s="135"/>
      <c r="BH389" s="135"/>
      <c r="BI389" s="135"/>
      <c r="BJ389" s="135"/>
      <c r="BK389" s="135"/>
      <c r="BL389" s="135"/>
      <c r="BM389" s="135"/>
      <c r="BN389" s="135"/>
      <c r="BO389" s="135"/>
      <c r="BP389" s="135"/>
      <c r="BQ389" s="135"/>
      <c r="BR389" s="135"/>
      <c r="BS389" s="135"/>
      <c r="BT389" s="135"/>
      <c r="BU389" s="135"/>
      <c r="BV389" s="135"/>
      <c r="BW389" s="135"/>
      <c r="BX389" s="135"/>
      <c r="BY389" s="135"/>
      <c r="BZ389" s="135"/>
      <c r="CA389" s="135"/>
      <c r="CB389" s="135"/>
      <c r="CC389" s="135"/>
      <c r="CD389" s="135"/>
      <c r="CE389" s="135"/>
      <c r="CF389" s="135"/>
      <c r="CG389" s="135"/>
      <c r="CH389" s="135"/>
      <c r="CI389" s="135"/>
      <c r="CJ389" s="135"/>
      <c r="CK389" s="135"/>
      <c r="CL389" s="135"/>
      <c r="CM389" s="135"/>
      <c r="CN389" s="135"/>
      <c r="CO389" s="135"/>
      <c r="CP389" s="135"/>
      <c r="CQ389" s="135"/>
      <c r="CR389" s="135"/>
      <c r="CS389" s="135"/>
      <c r="CT389" s="135"/>
      <c r="CU389" s="135"/>
      <c r="CV389" s="135"/>
      <c r="CW389" s="135"/>
      <c r="CX389" s="136"/>
    </row>
    <row r="390" spans="2:102">
      <c r="B390" s="133"/>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c r="AB390" s="135"/>
      <c r="AC390" s="135"/>
      <c r="AD390" s="135"/>
      <c r="AE390" s="135"/>
      <c r="AF390" s="135"/>
      <c r="AG390" s="135"/>
      <c r="AH390" s="135"/>
      <c r="AI390" s="135"/>
      <c r="AJ390" s="135"/>
      <c r="AK390" s="135"/>
      <c r="AL390" s="135"/>
      <c r="AM390" s="135"/>
      <c r="AN390" s="135"/>
      <c r="AO390" s="135"/>
      <c r="AP390" s="135"/>
      <c r="AQ390" s="135"/>
      <c r="AR390" s="135"/>
      <c r="AS390" s="135"/>
      <c r="AT390" s="135"/>
      <c r="AU390" s="135"/>
      <c r="AV390" s="135"/>
      <c r="AW390" s="135"/>
      <c r="AX390" s="135"/>
      <c r="AY390" s="135"/>
      <c r="AZ390" s="135"/>
      <c r="BA390" s="135"/>
      <c r="BB390" s="135"/>
      <c r="BC390" s="135"/>
      <c r="BD390" s="135"/>
      <c r="BE390" s="135"/>
      <c r="BF390" s="135"/>
      <c r="BG390" s="135"/>
      <c r="BH390" s="135"/>
      <c r="BI390" s="135"/>
      <c r="BJ390" s="135"/>
      <c r="BK390" s="135"/>
      <c r="BL390" s="135"/>
      <c r="BM390" s="135"/>
      <c r="BN390" s="135"/>
      <c r="BO390" s="135"/>
      <c r="BP390" s="135"/>
      <c r="BQ390" s="135"/>
      <c r="BR390" s="135"/>
      <c r="BS390" s="135"/>
      <c r="BT390" s="135"/>
      <c r="BU390" s="135"/>
      <c r="BV390" s="135"/>
      <c r="BW390" s="135"/>
      <c r="BX390" s="135"/>
      <c r="BY390" s="135"/>
      <c r="BZ390" s="135"/>
      <c r="CA390" s="135"/>
      <c r="CB390" s="135"/>
      <c r="CC390" s="135"/>
      <c r="CD390" s="135"/>
      <c r="CE390" s="135"/>
      <c r="CF390" s="135"/>
      <c r="CG390" s="135"/>
      <c r="CH390" s="135"/>
      <c r="CI390" s="135"/>
      <c r="CJ390" s="135"/>
      <c r="CK390" s="135"/>
      <c r="CL390" s="135"/>
      <c r="CM390" s="135"/>
      <c r="CN390" s="135"/>
      <c r="CO390" s="135"/>
      <c r="CP390" s="135"/>
      <c r="CQ390" s="135"/>
      <c r="CR390" s="135"/>
      <c r="CS390" s="135"/>
      <c r="CT390" s="135"/>
      <c r="CU390" s="135"/>
      <c r="CV390" s="135"/>
      <c r="CW390" s="135"/>
      <c r="CX390" s="136"/>
    </row>
    <row r="391" spans="2:102">
      <c r="B391" s="133"/>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c r="AB391" s="135"/>
      <c r="AC391" s="135"/>
      <c r="AD391" s="135"/>
      <c r="AE391" s="135"/>
      <c r="AF391" s="135"/>
      <c r="AG391" s="135"/>
      <c r="AH391" s="135"/>
      <c r="AI391" s="135"/>
      <c r="AJ391" s="135"/>
      <c r="AK391" s="135"/>
      <c r="AL391" s="135"/>
      <c r="AM391" s="135"/>
      <c r="AN391" s="135"/>
      <c r="AO391" s="135"/>
      <c r="AP391" s="135"/>
      <c r="AQ391" s="135"/>
      <c r="AR391" s="135"/>
      <c r="AS391" s="135"/>
      <c r="AT391" s="135"/>
      <c r="AU391" s="135"/>
      <c r="AV391" s="135"/>
      <c r="AW391" s="135"/>
      <c r="AX391" s="135"/>
      <c r="AY391" s="135"/>
      <c r="AZ391" s="135"/>
      <c r="BA391" s="135"/>
      <c r="BB391" s="135"/>
      <c r="BC391" s="135"/>
      <c r="BD391" s="135"/>
      <c r="BE391" s="135"/>
      <c r="BF391" s="135"/>
      <c r="BG391" s="135"/>
      <c r="BH391" s="135"/>
      <c r="BI391" s="135"/>
      <c r="BJ391" s="135"/>
      <c r="BK391" s="135"/>
      <c r="BL391" s="135"/>
      <c r="BM391" s="135"/>
      <c r="BN391" s="135"/>
      <c r="BO391" s="135"/>
      <c r="BP391" s="135"/>
      <c r="BQ391" s="135"/>
      <c r="BR391" s="135"/>
      <c r="BS391" s="135"/>
      <c r="BT391" s="135"/>
      <c r="BU391" s="135"/>
      <c r="BV391" s="135"/>
      <c r="BW391" s="135"/>
      <c r="BX391" s="135"/>
      <c r="BY391" s="135"/>
      <c r="BZ391" s="135"/>
      <c r="CA391" s="135"/>
      <c r="CB391" s="135"/>
      <c r="CC391" s="135"/>
      <c r="CD391" s="135"/>
      <c r="CE391" s="135"/>
      <c r="CF391" s="135"/>
      <c r="CG391" s="135"/>
      <c r="CH391" s="135"/>
      <c r="CI391" s="135"/>
      <c r="CJ391" s="135"/>
      <c r="CK391" s="135"/>
      <c r="CL391" s="135"/>
      <c r="CM391" s="135"/>
      <c r="CN391" s="135"/>
      <c r="CO391" s="135"/>
      <c r="CP391" s="135"/>
      <c r="CQ391" s="135"/>
      <c r="CR391" s="135"/>
      <c r="CS391" s="135"/>
      <c r="CT391" s="135"/>
      <c r="CU391" s="135"/>
      <c r="CV391" s="135"/>
      <c r="CW391" s="135"/>
      <c r="CX391" s="136"/>
    </row>
    <row r="392" spans="2:102">
      <c r="B392" s="133"/>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c r="AB392" s="135"/>
      <c r="AC392" s="135"/>
      <c r="AD392" s="135"/>
      <c r="AE392" s="135"/>
      <c r="AF392" s="135"/>
      <c r="AG392" s="135"/>
      <c r="AH392" s="135"/>
      <c r="AI392" s="135"/>
      <c r="AJ392" s="135"/>
      <c r="AK392" s="135"/>
      <c r="AL392" s="135"/>
      <c r="AM392" s="135"/>
      <c r="AN392" s="135"/>
      <c r="AO392" s="135"/>
      <c r="AP392" s="135"/>
      <c r="AQ392" s="135"/>
      <c r="AR392" s="135"/>
      <c r="AS392" s="135"/>
      <c r="AT392" s="135"/>
      <c r="AU392" s="135"/>
      <c r="AV392" s="135"/>
      <c r="AW392" s="135"/>
      <c r="AX392" s="135"/>
      <c r="AY392" s="135"/>
      <c r="AZ392" s="135"/>
      <c r="BA392" s="135"/>
      <c r="BB392" s="135"/>
      <c r="BC392" s="135"/>
      <c r="BD392" s="135"/>
      <c r="BE392" s="135"/>
      <c r="BF392" s="135"/>
      <c r="BG392" s="135"/>
      <c r="BH392" s="135"/>
      <c r="BI392" s="135"/>
      <c r="BJ392" s="135"/>
      <c r="BK392" s="135"/>
      <c r="BL392" s="135"/>
      <c r="BM392" s="135"/>
      <c r="BN392" s="135"/>
      <c r="BO392" s="135"/>
      <c r="BP392" s="135"/>
      <c r="BQ392" s="135"/>
      <c r="BR392" s="135"/>
      <c r="BS392" s="135"/>
      <c r="BT392" s="135"/>
      <c r="BU392" s="135"/>
      <c r="BV392" s="135"/>
      <c r="BW392" s="135"/>
      <c r="BX392" s="135"/>
      <c r="BY392" s="135"/>
      <c r="BZ392" s="135"/>
      <c r="CA392" s="135"/>
      <c r="CB392" s="135"/>
      <c r="CC392" s="135"/>
      <c r="CD392" s="135"/>
      <c r="CE392" s="135"/>
      <c r="CF392" s="135"/>
      <c r="CG392" s="135"/>
      <c r="CH392" s="135"/>
      <c r="CI392" s="135"/>
      <c r="CJ392" s="135"/>
      <c r="CK392" s="135"/>
      <c r="CL392" s="135"/>
      <c r="CM392" s="135"/>
      <c r="CN392" s="135"/>
      <c r="CO392" s="135"/>
      <c r="CP392" s="135"/>
      <c r="CQ392" s="135"/>
      <c r="CR392" s="135"/>
      <c r="CS392" s="135"/>
      <c r="CT392" s="135"/>
      <c r="CU392" s="135"/>
      <c r="CV392" s="135"/>
      <c r="CW392" s="135"/>
      <c r="CX392" s="136"/>
    </row>
    <row r="393" spans="2:102">
      <c r="B393" s="133"/>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c r="AB393" s="135"/>
      <c r="AC393" s="135"/>
      <c r="AD393" s="135"/>
      <c r="AE393" s="135"/>
      <c r="AF393" s="135"/>
      <c r="AG393" s="135"/>
      <c r="AH393" s="135"/>
      <c r="AI393" s="135"/>
      <c r="AJ393" s="135"/>
      <c r="AK393" s="135"/>
      <c r="AL393" s="135"/>
      <c r="AM393" s="135"/>
      <c r="AN393" s="135"/>
      <c r="AO393" s="135"/>
      <c r="AP393" s="135"/>
      <c r="AQ393" s="135"/>
      <c r="AR393" s="135"/>
      <c r="AS393" s="135"/>
      <c r="AT393" s="135"/>
      <c r="AU393" s="135"/>
      <c r="AV393" s="135"/>
      <c r="AW393" s="135"/>
      <c r="AX393" s="135"/>
      <c r="AY393" s="135"/>
      <c r="AZ393" s="135"/>
      <c r="BA393" s="135"/>
      <c r="BB393" s="135"/>
      <c r="BC393" s="135"/>
      <c r="BD393" s="135"/>
      <c r="BE393" s="135"/>
      <c r="BF393" s="135"/>
      <c r="BG393" s="135"/>
      <c r="BH393" s="135"/>
      <c r="BI393" s="135"/>
      <c r="BJ393" s="135"/>
      <c r="BK393" s="135"/>
      <c r="BL393" s="135"/>
      <c r="BM393" s="135"/>
      <c r="BN393" s="135"/>
      <c r="BO393" s="135"/>
      <c r="BP393" s="135"/>
      <c r="BQ393" s="135"/>
      <c r="BR393" s="135"/>
      <c r="BS393" s="135"/>
      <c r="BT393" s="135"/>
      <c r="BU393" s="135"/>
      <c r="BV393" s="135"/>
      <c r="BW393" s="135"/>
      <c r="BX393" s="135"/>
      <c r="BY393" s="135"/>
      <c r="BZ393" s="135"/>
      <c r="CA393" s="135"/>
      <c r="CB393" s="135"/>
      <c r="CC393" s="135"/>
      <c r="CD393" s="135"/>
      <c r="CE393" s="135"/>
      <c r="CF393" s="135"/>
      <c r="CG393" s="135"/>
      <c r="CH393" s="135"/>
      <c r="CI393" s="135"/>
      <c r="CJ393" s="135"/>
      <c r="CK393" s="135"/>
      <c r="CL393" s="135"/>
      <c r="CM393" s="135"/>
      <c r="CN393" s="135"/>
      <c r="CO393" s="135"/>
      <c r="CP393" s="135"/>
      <c r="CQ393" s="135"/>
      <c r="CR393" s="135"/>
      <c r="CS393" s="135"/>
      <c r="CT393" s="135"/>
      <c r="CU393" s="135"/>
      <c r="CV393" s="135"/>
      <c r="CW393" s="135"/>
      <c r="CX393" s="136"/>
    </row>
    <row r="394" spans="2:102">
      <c r="B394" s="133"/>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c r="AB394" s="135"/>
      <c r="AC394" s="135"/>
      <c r="AD394" s="135"/>
      <c r="AE394" s="135"/>
      <c r="AF394" s="135"/>
      <c r="AG394" s="135"/>
      <c r="AH394" s="135"/>
      <c r="AI394" s="135"/>
      <c r="AJ394" s="135"/>
      <c r="AK394" s="135"/>
      <c r="AL394" s="135"/>
      <c r="AM394" s="135"/>
      <c r="AN394" s="135"/>
      <c r="AO394" s="135"/>
      <c r="AP394" s="135"/>
      <c r="AQ394" s="135"/>
      <c r="AR394" s="135"/>
      <c r="AS394" s="135"/>
      <c r="AT394" s="135"/>
      <c r="AU394" s="135"/>
      <c r="AV394" s="135"/>
      <c r="AW394" s="135"/>
      <c r="AX394" s="135"/>
      <c r="AY394" s="135"/>
      <c r="AZ394" s="135"/>
      <c r="BA394" s="135"/>
      <c r="BB394" s="135"/>
      <c r="BC394" s="135"/>
      <c r="BD394" s="135"/>
      <c r="BE394" s="135"/>
      <c r="BF394" s="135"/>
      <c r="BG394" s="135"/>
      <c r="BH394" s="135"/>
      <c r="BI394" s="135"/>
      <c r="BJ394" s="135"/>
      <c r="BK394" s="135"/>
      <c r="BL394" s="135"/>
      <c r="BM394" s="135"/>
      <c r="BN394" s="135"/>
      <c r="BO394" s="135"/>
      <c r="BP394" s="135"/>
      <c r="BQ394" s="135"/>
      <c r="BR394" s="135"/>
      <c r="BS394" s="135"/>
      <c r="BT394" s="135"/>
      <c r="BU394" s="135"/>
      <c r="BV394" s="135"/>
      <c r="BW394" s="135"/>
      <c r="BX394" s="135"/>
      <c r="BY394" s="135"/>
      <c r="BZ394" s="135"/>
      <c r="CA394" s="135"/>
      <c r="CB394" s="135"/>
      <c r="CC394" s="135"/>
      <c r="CD394" s="135"/>
      <c r="CE394" s="135"/>
      <c r="CF394" s="135"/>
      <c r="CG394" s="135"/>
      <c r="CH394" s="135"/>
      <c r="CI394" s="135"/>
      <c r="CJ394" s="135"/>
      <c r="CK394" s="135"/>
      <c r="CL394" s="135"/>
      <c r="CM394" s="135"/>
      <c r="CN394" s="135"/>
      <c r="CO394" s="135"/>
      <c r="CP394" s="135"/>
      <c r="CQ394" s="135"/>
      <c r="CR394" s="135"/>
      <c r="CS394" s="135"/>
      <c r="CT394" s="135"/>
      <c r="CU394" s="135"/>
      <c r="CV394" s="135"/>
      <c r="CW394" s="135"/>
      <c r="CX394" s="136"/>
    </row>
    <row r="395" spans="2:102">
      <c r="B395" s="133"/>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c r="AB395" s="135"/>
      <c r="AC395" s="135"/>
      <c r="AD395" s="135"/>
      <c r="AE395" s="135"/>
      <c r="AF395" s="135"/>
      <c r="AG395" s="135"/>
      <c r="AH395" s="135"/>
      <c r="AI395" s="135"/>
      <c r="AJ395" s="135"/>
      <c r="AK395" s="135"/>
      <c r="AL395" s="135"/>
      <c r="AM395" s="135"/>
      <c r="AN395" s="135"/>
      <c r="AO395" s="135"/>
      <c r="AP395" s="135"/>
      <c r="AQ395" s="135"/>
      <c r="AR395" s="135"/>
      <c r="AS395" s="135"/>
      <c r="AT395" s="135"/>
      <c r="AU395" s="135"/>
      <c r="AV395" s="135"/>
      <c r="AW395" s="135"/>
      <c r="AX395" s="135"/>
      <c r="AY395" s="135"/>
      <c r="AZ395" s="135"/>
      <c r="BA395" s="135"/>
      <c r="BB395" s="135"/>
      <c r="BC395" s="135"/>
      <c r="BD395" s="135"/>
      <c r="BE395" s="135"/>
      <c r="BF395" s="135"/>
      <c r="BG395" s="135"/>
      <c r="BH395" s="135"/>
      <c r="BI395" s="135"/>
      <c r="BJ395" s="135"/>
      <c r="BK395" s="135"/>
      <c r="BL395" s="135"/>
      <c r="BM395" s="135"/>
      <c r="BN395" s="135"/>
      <c r="BO395" s="135"/>
      <c r="BP395" s="135"/>
      <c r="BQ395" s="135"/>
      <c r="BR395" s="135"/>
      <c r="BS395" s="135"/>
      <c r="BT395" s="135"/>
      <c r="BU395" s="135"/>
      <c r="BV395" s="135"/>
      <c r="BW395" s="135"/>
      <c r="BX395" s="135"/>
      <c r="BY395" s="135"/>
      <c r="BZ395" s="135"/>
      <c r="CA395" s="135"/>
      <c r="CB395" s="135"/>
      <c r="CC395" s="135"/>
      <c r="CD395" s="135"/>
      <c r="CE395" s="135"/>
      <c r="CF395" s="135"/>
      <c r="CG395" s="135"/>
      <c r="CH395" s="135"/>
      <c r="CI395" s="135"/>
      <c r="CJ395" s="135"/>
      <c r="CK395" s="135"/>
      <c r="CL395" s="135"/>
      <c r="CM395" s="135"/>
      <c r="CN395" s="135"/>
      <c r="CO395" s="135"/>
      <c r="CP395" s="135"/>
      <c r="CQ395" s="135"/>
      <c r="CR395" s="135"/>
      <c r="CS395" s="135"/>
      <c r="CT395" s="135"/>
      <c r="CU395" s="135"/>
      <c r="CV395" s="135"/>
      <c r="CW395" s="135"/>
      <c r="CX395" s="136"/>
    </row>
    <row r="396" spans="2:102">
      <c r="B396" s="133"/>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c r="AB396" s="135"/>
      <c r="AC396" s="135"/>
      <c r="AD396" s="135"/>
      <c r="AE396" s="135"/>
      <c r="AF396" s="135"/>
      <c r="AG396" s="135"/>
      <c r="AH396" s="135"/>
      <c r="AI396" s="135"/>
      <c r="AJ396" s="135"/>
      <c r="AK396" s="135"/>
      <c r="AL396" s="135"/>
      <c r="AM396" s="135"/>
      <c r="AN396" s="135"/>
      <c r="AO396" s="135"/>
      <c r="AP396" s="135"/>
      <c r="AQ396" s="135"/>
      <c r="AR396" s="135"/>
      <c r="AS396" s="135"/>
      <c r="AT396" s="135"/>
      <c r="AU396" s="135"/>
      <c r="AV396" s="135"/>
      <c r="AW396" s="135"/>
      <c r="AX396" s="135"/>
      <c r="AY396" s="135"/>
      <c r="AZ396" s="135"/>
      <c r="BA396" s="135"/>
      <c r="BB396" s="135"/>
      <c r="BC396" s="135"/>
      <c r="BD396" s="135"/>
      <c r="BE396" s="135"/>
      <c r="BF396" s="135"/>
      <c r="BG396" s="135"/>
      <c r="BH396" s="135"/>
      <c r="BI396" s="135"/>
      <c r="BJ396" s="135"/>
      <c r="BK396" s="135"/>
      <c r="BL396" s="135"/>
      <c r="BM396" s="135"/>
      <c r="BN396" s="135"/>
      <c r="BO396" s="135"/>
      <c r="BP396" s="135"/>
      <c r="BQ396" s="135"/>
      <c r="BR396" s="135"/>
      <c r="BS396" s="135"/>
      <c r="BT396" s="135"/>
      <c r="BU396" s="135"/>
      <c r="BV396" s="135"/>
      <c r="BW396" s="135"/>
      <c r="BX396" s="135"/>
      <c r="BY396" s="135"/>
      <c r="BZ396" s="135"/>
      <c r="CA396" s="135"/>
      <c r="CB396" s="135"/>
      <c r="CC396" s="135"/>
      <c r="CD396" s="135"/>
      <c r="CE396" s="135"/>
      <c r="CF396" s="135"/>
      <c r="CG396" s="135"/>
      <c r="CH396" s="135"/>
      <c r="CI396" s="135"/>
      <c r="CJ396" s="135"/>
      <c r="CK396" s="135"/>
      <c r="CL396" s="135"/>
      <c r="CM396" s="135"/>
      <c r="CN396" s="135"/>
      <c r="CO396" s="135"/>
      <c r="CP396" s="135"/>
      <c r="CQ396" s="135"/>
      <c r="CR396" s="135"/>
      <c r="CS396" s="135"/>
      <c r="CT396" s="135"/>
      <c r="CU396" s="135"/>
      <c r="CV396" s="135"/>
      <c r="CW396" s="135"/>
      <c r="CX396" s="136"/>
    </row>
    <row r="397" spans="2:102">
      <c r="B397" s="133"/>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c r="AB397" s="135"/>
      <c r="AC397" s="135"/>
      <c r="AD397" s="135"/>
      <c r="AE397" s="135"/>
      <c r="AF397" s="135"/>
      <c r="AG397" s="135"/>
      <c r="AH397" s="135"/>
      <c r="AI397" s="135"/>
      <c r="AJ397" s="135"/>
      <c r="AK397" s="135"/>
      <c r="AL397" s="135"/>
      <c r="AM397" s="135"/>
      <c r="AN397" s="135"/>
      <c r="AO397" s="135"/>
      <c r="AP397" s="135"/>
      <c r="AQ397" s="135"/>
      <c r="AR397" s="135"/>
      <c r="AS397" s="135"/>
      <c r="AT397" s="135"/>
      <c r="AU397" s="135"/>
      <c r="AV397" s="135"/>
      <c r="AW397" s="135"/>
      <c r="AX397" s="135"/>
      <c r="AY397" s="135"/>
      <c r="AZ397" s="135"/>
      <c r="BA397" s="135"/>
      <c r="BB397" s="135"/>
      <c r="BC397" s="135"/>
      <c r="BD397" s="135"/>
      <c r="BE397" s="135"/>
      <c r="BF397" s="135"/>
      <c r="BG397" s="135"/>
      <c r="BH397" s="135"/>
      <c r="BI397" s="135"/>
      <c r="BJ397" s="135"/>
      <c r="BK397" s="135"/>
      <c r="BL397" s="135"/>
      <c r="BM397" s="135"/>
      <c r="BN397" s="135"/>
      <c r="BO397" s="135"/>
      <c r="BP397" s="135"/>
      <c r="BQ397" s="135"/>
      <c r="BR397" s="135"/>
      <c r="BS397" s="135"/>
      <c r="BT397" s="135"/>
      <c r="BU397" s="135"/>
      <c r="BV397" s="135"/>
      <c r="BW397" s="135"/>
      <c r="BX397" s="135"/>
      <c r="BY397" s="135"/>
      <c r="BZ397" s="135"/>
      <c r="CA397" s="135"/>
      <c r="CB397" s="135"/>
      <c r="CC397" s="135"/>
      <c r="CD397" s="135"/>
      <c r="CE397" s="135"/>
      <c r="CF397" s="135"/>
      <c r="CG397" s="135"/>
      <c r="CH397" s="135"/>
      <c r="CI397" s="135"/>
      <c r="CJ397" s="135"/>
      <c r="CK397" s="135"/>
      <c r="CL397" s="135"/>
      <c r="CM397" s="135"/>
      <c r="CN397" s="135"/>
      <c r="CO397" s="135"/>
      <c r="CP397" s="135"/>
      <c r="CQ397" s="135"/>
      <c r="CR397" s="135"/>
      <c r="CS397" s="135"/>
      <c r="CT397" s="135"/>
      <c r="CU397" s="135"/>
      <c r="CV397" s="135"/>
      <c r="CW397" s="135"/>
      <c r="CX397" s="136"/>
    </row>
    <row r="398" spans="2:102">
      <c r="B398" s="133"/>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c r="AB398" s="135"/>
      <c r="AC398" s="135"/>
      <c r="AD398" s="135"/>
      <c r="AE398" s="135"/>
      <c r="AF398" s="135"/>
      <c r="AG398" s="135"/>
      <c r="AH398" s="135"/>
      <c r="AI398" s="135"/>
      <c r="AJ398" s="135"/>
      <c r="AK398" s="135"/>
      <c r="AL398" s="135"/>
      <c r="AM398" s="135"/>
      <c r="AN398" s="135"/>
      <c r="AO398" s="135"/>
      <c r="AP398" s="135"/>
      <c r="AQ398" s="135"/>
      <c r="AR398" s="135"/>
      <c r="AS398" s="135"/>
      <c r="AT398" s="135"/>
      <c r="AU398" s="135"/>
      <c r="AV398" s="135"/>
      <c r="AW398" s="135"/>
      <c r="AX398" s="135"/>
      <c r="AY398" s="135"/>
      <c r="AZ398" s="135"/>
      <c r="BA398" s="135"/>
      <c r="BB398" s="135"/>
      <c r="BC398" s="135"/>
      <c r="BD398" s="135"/>
      <c r="BE398" s="135"/>
      <c r="BF398" s="135"/>
      <c r="BG398" s="135"/>
      <c r="BH398" s="135"/>
      <c r="BI398" s="135"/>
      <c r="BJ398" s="135"/>
      <c r="BK398" s="135"/>
      <c r="BL398" s="135"/>
      <c r="BM398" s="135"/>
      <c r="BN398" s="135"/>
      <c r="BO398" s="135"/>
      <c r="BP398" s="135"/>
      <c r="BQ398" s="135"/>
      <c r="BR398" s="135"/>
      <c r="BS398" s="135"/>
      <c r="BT398" s="135"/>
      <c r="BU398" s="135"/>
      <c r="BV398" s="135"/>
      <c r="BW398" s="135"/>
      <c r="BX398" s="135"/>
      <c r="BY398" s="135"/>
      <c r="BZ398" s="135"/>
      <c r="CA398" s="135"/>
      <c r="CB398" s="135"/>
      <c r="CC398" s="135"/>
      <c r="CD398" s="135"/>
      <c r="CE398" s="135"/>
      <c r="CF398" s="135"/>
      <c r="CG398" s="135"/>
      <c r="CH398" s="135"/>
      <c r="CI398" s="135"/>
      <c r="CJ398" s="135"/>
      <c r="CK398" s="135"/>
      <c r="CL398" s="135"/>
      <c r="CM398" s="135"/>
      <c r="CN398" s="135"/>
      <c r="CO398" s="135"/>
      <c r="CP398" s="135"/>
      <c r="CQ398" s="135"/>
      <c r="CR398" s="135"/>
      <c r="CS398" s="135"/>
      <c r="CT398" s="135"/>
      <c r="CU398" s="135"/>
      <c r="CV398" s="135"/>
      <c r="CW398" s="135"/>
      <c r="CX398" s="136"/>
    </row>
    <row r="399" spans="2:102">
      <c r="B399" s="133"/>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c r="AB399" s="135"/>
      <c r="AC399" s="135"/>
      <c r="AD399" s="135"/>
      <c r="AE399" s="135"/>
      <c r="AF399" s="135"/>
      <c r="AG399" s="135"/>
      <c r="AH399" s="135"/>
      <c r="AI399" s="135"/>
      <c r="AJ399" s="135"/>
      <c r="AK399" s="135"/>
      <c r="AL399" s="135"/>
      <c r="AM399" s="135"/>
      <c r="AN399" s="135"/>
      <c r="AO399" s="135"/>
      <c r="AP399" s="135"/>
      <c r="AQ399" s="135"/>
      <c r="AR399" s="135"/>
      <c r="AS399" s="135"/>
      <c r="AT399" s="135"/>
      <c r="AU399" s="135"/>
      <c r="AV399" s="135"/>
      <c r="AW399" s="135"/>
      <c r="AX399" s="135"/>
      <c r="AY399" s="135"/>
      <c r="AZ399" s="135"/>
      <c r="BA399" s="135"/>
      <c r="BB399" s="135"/>
      <c r="BC399" s="135"/>
      <c r="BD399" s="135"/>
      <c r="BE399" s="135"/>
      <c r="BF399" s="135"/>
      <c r="BG399" s="135"/>
      <c r="BH399" s="135"/>
      <c r="BI399" s="135"/>
      <c r="BJ399" s="135"/>
      <c r="BK399" s="135"/>
      <c r="BL399" s="135"/>
      <c r="BM399" s="135"/>
      <c r="BN399" s="135"/>
      <c r="BO399" s="135"/>
      <c r="BP399" s="135"/>
      <c r="BQ399" s="135"/>
      <c r="BR399" s="135"/>
      <c r="BS399" s="135"/>
      <c r="BT399" s="135"/>
      <c r="BU399" s="135"/>
      <c r="BV399" s="135"/>
      <c r="BW399" s="135"/>
      <c r="BX399" s="135"/>
      <c r="BY399" s="135"/>
      <c r="BZ399" s="135"/>
      <c r="CA399" s="135"/>
      <c r="CB399" s="135"/>
      <c r="CC399" s="135"/>
      <c r="CD399" s="135"/>
      <c r="CE399" s="135"/>
      <c r="CF399" s="135"/>
      <c r="CG399" s="135"/>
      <c r="CH399" s="135"/>
      <c r="CI399" s="135"/>
      <c r="CJ399" s="135"/>
      <c r="CK399" s="135"/>
      <c r="CL399" s="135"/>
      <c r="CM399" s="135"/>
      <c r="CN399" s="135"/>
      <c r="CO399" s="135"/>
      <c r="CP399" s="135"/>
      <c r="CQ399" s="135"/>
      <c r="CR399" s="135"/>
      <c r="CS399" s="135"/>
      <c r="CT399" s="135"/>
      <c r="CU399" s="135"/>
      <c r="CV399" s="135"/>
      <c r="CW399" s="135"/>
      <c r="CX399" s="136"/>
    </row>
    <row r="400" spans="2:102">
      <c r="B400" s="133"/>
      <c r="C400" s="135"/>
      <c r="D400" s="135"/>
      <c r="E400" s="135"/>
      <c r="F400" s="135"/>
      <c r="G400" s="135"/>
      <c r="W400" s="135"/>
      <c r="X400" s="135"/>
      <c r="Y400" s="135"/>
      <c r="Z400" s="135"/>
      <c r="AA400" s="135"/>
      <c r="AB400" s="135"/>
      <c r="AC400" s="135"/>
      <c r="AD400" s="135"/>
      <c r="AE400" s="135"/>
      <c r="AF400" s="135"/>
      <c r="AG400" s="135"/>
      <c r="AH400" s="135"/>
      <c r="AI400" s="135"/>
      <c r="AJ400" s="135"/>
      <c r="AK400" s="135"/>
      <c r="AL400" s="135"/>
      <c r="AM400" s="135"/>
      <c r="AN400" s="135"/>
      <c r="AO400" s="135"/>
      <c r="AP400" s="135"/>
      <c r="AQ400" s="135"/>
      <c r="AR400" s="135"/>
      <c r="AS400" s="135"/>
      <c r="AT400" s="135"/>
      <c r="AU400" s="135"/>
      <c r="AV400" s="135"/>
      <c r="AW400" s="135"/>
      <c r="AX400" s="135"/>
      <c r="AY400" s="135"/>
      <c r="AZ400" s="135"/>
      <c r="BA400" s="135"/>
      <c r="BB400" s="135"/>
      <c r="BC400" s="135"/>
      <c r="BD400" s="135"/>
      <c r="BE400" s="135"/>
      <c r="BF400" s="135"/>
      <c r="BG400" s="135"/>
      <c r="BH400" s="135"/>
      <c r="BI400" s="135"/>
      <c r="BJ400" s="135"/>
      <c r="BK400" s="135"/>
      <c r="BL400" s="135"/>
      <c r="BM400" s="135"/>
      <c r="BN400" s="135"/>
      <c r="BO400" s="135"/>
      <c r="BP400" s="135"/>
      <c r="BQ400" s="135"/>
      <c r="BR400" s="135"/>
      <c r="BS400" s="135"/>
      <c r="BT400" s="135"/>
      <c r="BU400" s="135"/>
      <c r="BV400" s="135"/>
      <c r="BW400" s="135"/>
      <c r="BX400" s="135"/>
      <c r="BY400" s="135"/>
      <c r="BZ400" s="135"/>
      <c r="CA400" s="135"/>
      <c r="CB400" s="135"/>
      <c r="CC400" s="135"/>
      <c r="CD400" s="135"/>
      <c r="CE400" s="135"/>
      <c r="CF400" s="135"/>
      <c r="CG400" s="135"/>
      <c r="CH400" s="135"/>
      <c r="CI400" s="135"/>
      <c r="CJ400" s="135"/>
      <c r="CK400" s="135"/>
      <c r="CL400" s="135"/>
      <c r="CM400" s="135"/>
      <c r="CN400" s="135"/>
      <c r="CO400" s="135"/>
      <c r="CP400" s="135"/>
      <c r="CQ400" s="135"/>
      <c r="CR400" s="135"/>
      <c r="CS400" s="135"/>
      <c r="CT400" s="135"/>
      <c r="CU400" s="135"/>
      <c r="CV400" s="135"/>
      <c r="CW400" s="135"/>
      <c r="CX400" s="136"/>
    </row>
    <row r="401" spans="2:102">
      <c r="B401" s="133"/>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c r="AB401" s="135"/>
      <c r="AC401" s="135"/>
      <c r="AD401" s="135"/>
      <c r="AE401" s="135"/>
      <c r="AF401" s="135"/>
      <c r="AG401" s="135"/>
      <c r="AH401" s="135"/>
      <c r="AI401" s="135"/>
      <c r="AJ401" s="135"/>
      <c r="AK401" s="135"/>
      <c r="AL401" s="135"/>
      <c r="AM401" s="135"/>
      <c r="AN401" s="135"/>
      <c r="AO401" s="135"/>
      <c r="AP401" s="135"/>
      <c r="AQ401" s="135"/>
      <c r="AR401" s="135"/>
      <c r="AS401" s="135"/>
      <c r="AT401" s="135"/>
      <c r="AU401" s="135"/>
      <c r="AV401" s="135"/>
      <c r="AW401" s="135"/>
      <c r="AX401" s="135"/>
      <c r="AY401" s="135"/>
      <c r="AZ401" s="135"/>
      <c r="BA401" s="135"/>
      <c r="BB401" s="135"/>
      <c r="BC401" s="135"/>
      <c r="BD401" s="135"/>
      <c r="BE401" s="135"/>
      <c r="BF401" s="135"/>
      <c r="BG401" s="135"/>
      <c r="BH401" s="135"/>
      <c r="BI401" s="135"/>
      <c r="BJ401" s="135"/>
      <c r="BK401" s="135"/>
      <c r="BL401" s="135"/>
      <c r="BM401" s="135"/>
      <c r="BN401" s="135"/>
      <c r="BO401" s="135"/>
      <c r="BP401" s="135"/>
      <c r="BQ401" s="135"/>
      <c r="BR401" s="135"/>
      <c r="BS401" s="135"/>
      <c r="BT401" s="135"/>
      <c r="BU401" s="135"/>
      <c r="BV401" s="135"/>
      <c r="BW401" s="135"/>
      <c r="BX401" s="135"/>
      <c r="BY401" s="135"/>
      <c r="BZ401" s="135"/>
      <c r="CA401" s="135"/>
      <c r="CB401" s="135"/>
      <c r="CC401" s="135"/>
      <c r="CD401" s="135"/>
      <c r="CE401" s="135"/>
      <c r="CF401" s="135"/>
      <c r="CG401" s="135"/>
      <c r="CH401" s="135"/>
      <c r="CI401" s="135"/>
      <c r="CJ401" s="135"/>
      <c r="CK401" s="135"/>
      <c r="CL401" s="135"/>
      <c r="CM401" s="135"/>
      <c r="CN401" s="135"/>
      <c r="CO401" s="135"/>
      <c r="CP401" s="135"/>
      <c r="CQ401" s="135"/>
      <c r="CR401" s="135"/>
      <c r="CS401" s="135"/>
      <c r="CT401" s="135"/>
      <c r="CU401" s="135"/>
      <c r="CV401" s="135"/>
      <c r="CW401" s="135"/>
      <c r="CX401" s="136"/>
    </row>
    <row r="402" spans="2:102">
      <c r="B402" s="133"/>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c r="AB402" s="135"/>
      <c r="AC402" s="135"/>
      <c r="AD402" s="135"/>
      <c r="AE402" s="135"/>
      <c r="AF402" s="135"/>
      <c r="AG402" s="135"/>
      <c r="AH402" s="135"/>
      <c r="AI402" s="135"/>
      <c r="AJ402" s="135"/>
      <c r="AK402" s="135"/>
      <c r="AL402" s="135"/>
      <c r="AM402" s="135"/>
      <c r="AN402" s="135"/>
      <c r="AO402" s="135"/>
      <c r="AP402" s="135"/>
      <c r="AQ402" s="135"/>
      <c r="AR402" s="135"/>
      <c r="AS402" s="135"/>
      <c r="AT402" s="135"/>
      <c r="AU402" s="135"/>
      <c r="AV402" s="135"/>
      <c r="AW402" s="135"/>
      <c r="AX402" s="135"/>
      <c r="AY402" s="135"/>
      <c r="AZ402" s="135"/>
      <c r="BA402" s="135"/>
      <c r="BB402" s="135"/>
      <c r="BC402" s="135"/>
      <c r="BD402" s="135"/>
      <c r="BE402" s="135"/>
      <c r="BF402" s="135"/>
      <c r="BG402" s="135"/>
      <c r="BH402" s="135"/>
      <c r="BI402" s="135"/>
      <c r="BJ402" s="135"/>
      <c r="BK402" s="135"/>
      <c r="BL402" s="135"/>
      <c r="BM402" s="135"/>
      <c r="BN402" s="135"/>
      <c r="BO402" s="135"/>
      <c r="BP402" s="135"/>
      <c r="BQ402" s="135"/>
      <c r="BR402" s="135"/>
      <c r="BS402" s="135"/>
      <c r="BT402" s="135"/>
      <c r="BU402" s="135"/>
      <c r="BV402" s="135"/>
      <c r="BW402" s="135"/>
      <c r="BX402" s="135"/>
      <c r="BY402" s="135"/>
      <c r="BZ402" s="135"/>
      <c r="CA402" s="135"/>
      <c r="CB402" s="135"/>
      <c r="CC402" s="135"/>
      <c r="CD402" s="135"/>
      <c r="CE402" s="135"/>
      <c r="CF402" s="135"/>
      <c r="CG402" s="135"/>
      <c r="CH402" s="135"/>
      <c r="CI402" s="135"/>
      <c r="CJ402" s="135"/>
      <c r="CK402" s="135"/>
      <c r="CL402" s="135"/>
      <c r="CM402" s="135"/>
      <c r="CN402" s="135"/>
      <c r="CO402" s="135"/>
      <c r="CP402" s="135"/>
      <c r="CQ402" s="135"/>
      <c r="CR402" s="135"/>
      <c r="CS402" s="135"/>
      <c r="CT402" s="135"/>
      <c r="CU402" s="135"/>
      <c r="CV402" s="135"/>
      <c r="CW402" s="135"/>
      <c r="CX402" s="136"/>
    </row>
    <row r="403" spans="2:102">
      <c r="B403" s="133"/>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c r="AB403" s="135"/>
      <c r="AC403" s="135"/>
      <c r="AD403" s="135"/>
      <c r="AE403" s="135"/>
      <c r="AF403" s="135"/>
      <c r="AG403" s="135"/>
      <c r="AH403" s="135"/>
      <c r="AI403" s="135"/>
      <c r="AJ403" s="135"/>
      <c r="AK403" s="135"/>
      <c r="AL403" s="135"/>
      <c r="AM403" s="135"/>
      <c r="AN403" s="135"/>
      <c r="AO403" s="135"/>
      <c r="AP403" s="135"/>
      <c r="AQ403" s="135"/>
      <c r="AR403" s="135"/>
      <c r="AS403" s="135"/>
      <c r="AT403" s="135"/>
      <c r="AU403" s="135"/>
      <c r="AV403" s="135"/>
      <c r="AW403" s="135"/>
      <c r="AX403" s="135"/>
      <c r="AY403" s="135"/>
      <c r="AZ403" s="135"/>
      <c r="BA403" s="135"/>
      <c r="BB403" s="135"/>
      <c r="BC403" s="135"/>
      <c r="BD403" s="135"/>
      <c r="BE403" s="135"/>
      <c r="BF403" s="135"/>
      <c r="BG403" s="135"/>
      <c r="BH403" s="135"/>
      <c r="BI403" s="135"/>
      <c r="BJ403" s="135"/>
      <c r="BK403" s="135"/>
      <c r="BL403" s="135"/>
      <c r="BM403" s="135"/>
      <c r="BN403" s="135"/>
      <c r="BO403" s="135"/>
      <c r="BP403" s="135"/>
      <c r="BQ403" s="135"/>
      <c r="BR403" s="135"/>
      <c r="BS403" s="135"/>
      <c r="BT403" s="135"/>
      <c r="BU403" s="135"/>
      <c r="BV403" s="135"/>
      <c r="BW403" s="135"/>
      <c r="BX403" s="135"/>
      <c r="BY403" s="135"/>
      <c r="BZ403" s="135"/>
      <c r="CA403" s="135"/>
      <c r="CB403" s="135"/>
      <c r="CC403" s="135"/>
      <c r="CD403" s="135"/>
      <c r="CE403" s="135"/>
      <c r="CF403" s="135"/>
      <c r="CG403" s="135"/>
      <c r="CH403" s="135"/>
      <c r="CI403" s="135"/>
      <c r="CJ403" s="135"/>
      <c r="CK403" s="135"/>
      <c r="CL403" s="135"/>
      <c r="CM403" s="135"/>
      <c r="CN403" s="135"/>
      <c r="CO403" s="135"/>
      <c r="CP403" s="135"/>
      <c r="CQ403" s="135"/>
      <c r="CR403" s="135"/>
      <c r="CS403" s="135"/>
      <c r="CT403" s="135"/>
      <c r="CU403" s="135"/>
      <c r="CV403" s="135"/>
      <c r="CW403" s="135"/>
      <c r="CX403" s="136"/>
    </row>
    <row r="404" spans="2:102">
      <c r="B404" s="133"/>
      <c r="C404" s="135"/>
      <c r="D404" s="135"/>
      <c r="E404" s="135"/>
      <c r="F404" s="135"/>
      <c r="G404" s="135"/>
      <c r="H404" s="135" t="s">
        <v>107</v>
      </c>
      <c r="I404" s="135"/>
      <c r="J404" s="135"/>
      <c r="K404" s="135"/>
      <c r="L404" s="135"/>
      <c r="M404" s="135"/>
      <c r="N404" s="135" t="s">
        <v>225</v>
      </c>
      <c r="O404" s="135"/>
      <c r="P404" s="135"/>
      <c r="Q404" s="135"/>
      <c r="R404" s="135"/>
      <c r="S404" s="135"/>
      <c r="T404" s="135"/>
      <c r="U404" s="135"/>
      <c r="V404" s="135"/>
      <c r="W404" s="135"/>
      <c r="X404" s="135"/>
      <c r="Y404" s="135"/>
      <c r="Z404" s="135"/>
      <c r="AA404" s="135"/>
      <c r="AB404" s="135"/>
      <c r="AC404" s="135"/>
      <c r="AD404" s="135"/>
      <c r="AE404" s="135"/>
      <c r="AF404" s="135"/>
      <c r="AG404" s="135"/>
      <c r="AH404" s="135"/>
      <c r="AI404" s="135"/>
      <c r="AJ404" s="135"/>
      <c r="AK404" s="135"/>
      <c r="AL404" s="135"/>
      <c r="AM404" s="135"/>
      <c r="AN404" s="135"/>
      <c r="AO404" s="135"/>
      <c r="AP404" s="135"/>
      <c r="AQ404" s="135"/>
      <c r="AR404" s="135"/>
      <c r="AS404" s="135"/>
      <c r="AT404" s="135"/>
      <c r="AU404" s="135"/>
      <c r="AV404" s="135"/>
      <c r="AW404" s="135"/>
      <c r="AX404" s="135"/>
      <c r="AY404" s="135"/>
      <c r="AZ404" s="135"/>
      <c r="BA404" s="135"/>
      <c r="BB404" s="135"/>
      <c r="BC404" s="135"/>
      <c r="BD404" s="135"/>
      <c r="BE404" s="135"/>
      <c r="BF404" s="135"/>
      <c r="BG404" s="135"/>
      <c r="BH404" s="135"/>
      <c r="BI404" s="135"/>
      <c r="BJ404" s="135"/>
      <c r="BK404" s="135"/>
      <c r="BL404" s="135"/>
      <c r="BM404" s="135"/>
      <c r="BN404" s="135"/>
      <c r="BO404" s="135"/>
      <c r="BP404" s="135"/>
      <c r="BQ404" s="135"/>
      <c r="BR404" s="135"/>
      <c r="BS404" s="135"/>
      <c r="BT404" s="135"/>
      <c r="BU404" s="135"/>
      <c r="BV404" s="135"/>
      <c r="BW404" s="135"/>
      <c r="BX404" s="135"/>
      <c r="BY404" s="135"/>
      <c r="BZ404" s="135"/>
      <c r="CA404" s="135"/>
      <c r="CB404" s="135"/>
      <c r="CC404" s="135"/>
      <c r="CD404" s="135"/>
      <c r="CE404" s="135"/>
      <c r="CF404" s="135"/>
      <c r="CG404" s="135"/>
      <c r="CH404" s="135"/>
      <c r="CI404" s="135"/>
      <c r="CJ404" s="135"/>
      <c r="CK404" s="135"/>
      <c r="CL404" s="135"/>
      <c r="CM404" s="135"/>
      <c r="CN404" s="135"/>
      <c r="CO404" s="135"/>
      <c r="CP404" s="135"/>
      <c r="CQ404" s="135"/>
      <c r="CR404" s="135"/>
      <c r="CS404" s="135"/>
      <c r="CT404" s="135"/>
      <c r="CU404" s="135"/>
      <c r="CV404" s="135"/>
      <c r="CW404" s="135"/>
      <c r="CX404" s="136"/>
    </row>
    <row r="405" spans="2:102">
      <c r="B405" s="133"/>
      <c r="C405" s="135"/>
      <c r="D405" s="135"/>
      <c r="E405" s="135"/>
      <c r="F405" s="135"/>
      <c r="G405" s="135"/>
      <c r="H405" s="135" t="s">
        <v>109</v>
      </c>
      <c r="I405" s="135"/>
      <c r="J405" s="135"/>
      <c r="K405" s="135"/>
      <c r="L405" s="135"/>
      <c r="M405" s="135"/>
      <c r="N405" s="135" t="s">
        <v>226</v>
      </c>
      <c r="O405" s="135"/>
      <c r="P405" s="135"/>
      <c r="Q405" s="135"/>
      <c r="R405" s="135"/>
      <c r="S405" s="135"/>
      <c r="T405" s="135"/>
      <c r="U405" s="135"/>
      <c r="V405" s="135"/>
      <c r="W405" s="135"/>
      <c r="X405" s="135"/>
      <c r="Y405" s="135"/>
      <c r="Z405" s="135"/>
      <c r="AA405" s="135"/>
      <c r="AB405" s="135"/>
      <c r="AC405" s="135"/>
      <c r="AD405" s="135"/>
      <c r="AE405" s="135"/>
      <c r="AF405" s="135"/>
      <c r="AG405" s="135"/>
      <c r="AH405" s="135"/>
      <c r="AI405" s="135"/>
      <c r="AJ405" s="135"/>
      <c r="AK405" s="135"/>
      <c r="AL405" s="135"/>
      <c r="AM405" s="135"/>
      <c r="AN405" s="135"/>
      <c r="AO405" s="135"/>
      <c r="AP405" s="135"/>
      <c r="AQ405" s="135"/>
      <c r="AR405" s="135"/>
      <c r="AS405" s="135"/>
      <c r="AT405" s="135"/>
      <c r="AU405" s="135"/>
      <c r="AV405" s="135"/>
      <c r="AW405" s="135"/>
      <c r="AX405" s="135"/>
      <c r="AY405" s="135"/>
      <c r="AZ405" s="135"/>
      <c r="BA405" s="135"/>
      <c r="BB405" s="135"/>
      <c r="BC405" s="135"/>
      <c r="BD405" s="135"/>
      <c r="BE405" s="135"/>
      <c r="BF405" s="135"/>
      <c r="BG405" s="135"/>
      <c r="BH405" s="135"/>
      <c r="BI405" s="135"/>
      <c r="BJ405" s="135"/>
      <c r="BK405" s="135"/>
      <c r="BL405" s="135"/>
      <c r="BM405" s="135"/>
      <c r="BN405" s="135"/>
      <c r="BO405" s="135"/>
      <c r="BP405" s="135"/>
      <c r="BQ405" s="135"/>
      <c r="BR405" s="135"/>
      <c r="BS405" s="135"/>
      <c r="BT405" s="135"/>
      <c r="BU405" s="135"/>
      <c r="BV405" s="135"/>
      <c r="BW405" s="135"/>
      <c r="BX405" s="135"/>
      <c r="BY405" s="135"/>
      <c r="BZ405" s="135"/>
      <c r="CA405" s="135"/>
      <c r="CB405" s="135"/>
      <c r="CC405" s="135"/>
      <c r="CD405" s="135"/>
      <c r="CE405" s="135"/>
      <c r="CF405" s="135"/>
      <c r="CG405" s="135"/>
      <c r="CH405" s="135"/>
      <c r="CI405" s="135"/>
      <c r="CJ405" s="135"/>
      <c r="CK405" s="135"/>
      <c r="CL405" s="135"/>
      <c r="CM405" s="135"/>
      <c r="CN405" s="135"/>
      <c r="CO405" s="135"/>
      <c r="CP405" s="135"/>
      <c r="CQ405" s="135"/>
      <c r="CR405" s="135"/>
      <c r="CS405" s="135"/>
      <c r="CT405" s="135"/>
      <c r="CU405" s="135"/>
      <c r="CV405" s="135"/>
      <c r="CW405" s="135"/>
      <c r="CX405" s="136"/>
    </row>
    <row r="406" spans="2:102">
      <c r="B406" s="133"/>
      <c r="C406" s="135"/>
      <c r="D406" s="135"/>
      <c r="E406" s="135"/>
      <c r="F406" s="135"/>
      <c r="G406" s="135"/>
      <c r="H406" s="135" t="s">
        <v>111</v>
      </c>
      <c r="I406" s="135"/>
      <c r="J406" s="135"/>
      <c r="K406" s="135"/>
      <c r="L406" s="135"/>
      <c r="M406" s="135"/>
      <c r="N406" s="135" t="s">
        <v>227</v>
      </c>
      <c r="O406" s="135"/>
      <c r="P406" s="135"/>
      <c r="Q406" s="135"/>
      <c r="R406" s="135"/>
      <c r="S406" s="135"/>
      <c r="T406" s="135"/>
      <c r="U406" s="135"/>
      <c r="V406" s="135"/>
      <c r="W406" s="135"/>
      <c r="X406" s="135"/>
      <c r="Y406" s="135"/>
      <c r="Z406" s="135"/>
      <c r="AA406" s="135"/>
      <c r="AB406" s="135"/>
      <c r="AC406" s="135"/>
      <c r="AD406" s="135"/>
      <c r="AE406" s="135"/>
      <c r="AF406" s="135"/>
      <c r="AG406" s="135"/>
      <c r="AH406" s="135"/>
      <c r="AI406" s="135"/>
      <c r="AJ406" s="135"/>
      <c r="AK406" s="135"/>
      <c r="AL406" s="135"/>
      <c r="AM406" s="135"/>
      <c r="AN406" s="135"/>
      <c r="AO406" s="135"/>
      <c r="AP406" s="135"/>
      <c r="AQ406" s="135"/>
      <c r="AR406" s="135"/>
      <c r="AS406" s="135"/>
      <c r="AT406" s="135"/>
      <c r="AU406" s="135"/>
      <c r="AV406" s="135"/>
      <c r="AW406" s="135"/>
      <c r="AX406" s="135"/>
      <c r="AY406" s="135"/>
      <c r="AZ406" s="135"/>
      <c r="BA406" s="135"/>
      <c r="BB406" s="135"/>
      <c r="BC406" s="135"/>
      <c r="BD406" s="135"/>
      <c r="BE406" s="135"/>
      <c r="BF406" s="135"/>
      <c r="BG406" s="135"/>
      <c r="BH406" s="135"/>
      <c r="BI406" s="135"/>
      <c r="BJ406" s="135"/>
      <c r="BK406" s="135"/>
      <c r="BL406" s="135"/>
      <c r="BM406" s="135"/>
      <c r="BN406" s="135"/>
      <c r="BO406" s="135"/>
      <c r="BP406" s="135"/>
      <c r="BQ406" s="135"/>
      <c r="BR406" s="135"/>
      <c r="BS406" s="135"/>
      <c r="BT406" s="135"/>
      <c r="BU406" s="135"/>
      <c r="BV406" s="135"/>
      <c r="BW406" s="135"/>
      <c r="BX406" s="135"/>
      <c r="BY406" s="135"/>
      <c r="BZ406" s="135"/>
      <c r="CA406" s="135"/>
      <c r="CB406" s="135"/>
      <c r="CC406" s="135"/>
      <c r="CD406" s="135"/>
      <c r="CE406" s="135"/>
      <c r="CF406" s="135"/>
      <c r="CG406" s="135"/>
      <c r="CH406" s="135"/>
      <c r="CI406" s="135"/>
      <c r="CJ406" s="135"/>
      <c r="CK406" s="135"/>
      <c r="CL406" s="135"/>
      <c r="CM406" s="135"/>
      <c r="CN406" s="135"/>
      <c r="CO406" s="135"/>
      <c r="CP406" s="135"/>
      <c r="CQ406" s="135"/>
      <c r="CR406" s="135"/>
      <c r="CS406" s="135"/>
      <c r="CT406" s="135"/>
      <c r="CU406" s="135"/>
      <c r="CV406" s="135"/>
      <c r="CW406" s="135"/>
      <c r="CX406" s="136"/>
    </row>
    <row r="407" spans="2:102">
      <c r="B407" s="133"/>
      <c r="C407" s="135"/>
      <c r="D407" s="135"/>
      <c r="E407" s="135"/>
      <c r="F407" s="135"/>
      <c r="G407" s="135"/>
      <c r="H407" s="135"/>
      <c r="I407" s="135"/>
      <c r="J407" s="135"/>
      <c r="K407" s="135"/>
      <c r="L407" s="135"/>
      <c r="M407" s="135"/>
      <c r="S407" s="135"/>
      <c r="T407" s="135"/>
      <c r="U407" s="135"/>
      <c r="V407" s="135"/>
      <c r="W407" s="135"/>
      <c r="X407" s="135"/>
      <c r="Y407" s="135"/>
      <c r="Z407" s="135"/>
      <c r="AA407" s="135"/>
      <c r="AB407" s="135"/>
      <c r="AC407" s="135"/>
      <c r="AD407" s="135"/>
      <c r="AE407" s="135"/>
      <c r="AF407" s="135"/>
      <c r="AG407" s="135"/>
      <c r="AH407" s="135"/>
      <c r="AI407" s="135"/>
      <c r="AJ407" s="135"/>
      <c r="AK407" s="135"/>
      <c r="AL407" s="135"/>
      <c r="AM407" s="135"/>
      <c r="AN407" s="135"/>
      <c r="AO407" s="135"/>
      <c r="AP407" s="135"/>
      <c r="AQ407" s="135"/>
      <c r="AR407" s="135"/>
      <c r="AS407" s="135"/>
      <c r="AT407" s="135"/>
      <c r="AU407" s="135"/>
      <c r="AV407" s="135"/>
      <c r="AW407" s="135"/>
      <c r="AX407" s="135"/>
      <c r="AY407" s="135"/>
      <c r="AZ407" s="135"/>
      <c r="BA407" s="135"/>
      <c r="BB407" s="135"/>
      <c r="BC407" s="135"/>
      <c r="BD407" s="135"/>
      <c r="BE407" s="135"/>
      <c r="BF407" s="135"/>
      <c r="BG407" s="135"/>
      <c r="BH407" s="135"/>
      <c r="BI407" s="135"/>
      <c r="BJ407" s="135"/>
      <c r="BK407" s="135"/>
      <c r="BL407" s="135"/>
      <c r="BM407" s="135"/>
      <c r="BN407" s="135"/>
      <c r="BO407" s="135"/>
      <c r="BP407" s="135"/>
      <c r="BQ407" s="135"/>
      <c r="BR407" s="135"/>
      <c r="BS407" s="135"/>
      <c r="BT407" s="135"/>
      <c r="BU407" s="135"/>
      <c r="BV407" s="135"/>
      <c r="BW407" s="135"/>
      <c r="BX407" s="135"/>
      <c r="BY407" s="135"/>
      <c r="BZ407" s="135"/>
      <c r="CA407" s="135"/>
      <c r="CB407" s="135"/>
      <c r="CC407" s="135"/>
      <c r="CD407" s="135"/>
      <c r="CE407" s="135"/>
      <c r="CF407" s="135"/>
      <c r="CG407" s="135"/>
      <c r="CH407" s="135"/>
      <c r="CI407" s="135"/>
      <c r="CJ407" s="135"/>
      <c r="CK407" s="135"/>
      <c r="CL407" s="135"/>
      <c r="CM407" s="135"/>
      <c r="CN407" s="135"/>
      <c r="CO407" s="135"/>
      <c r="CP407" s="135"/>
      <c r="CQ407" s="135"/>
      <c r="CR407" s="135"/>
      <c r="CS407" s="135"/>
      <c r="CT407" s="135"/>
      <c r="CU407" s="135"/>
      <c r="CV407" s="135"/>
      <c r="CW407" s="135"/>
      <c r="CX407" s="136"/>
    </row>
    <row r="408" spans="2:102">
      <c r="B408" s="133"/>
      <c r="C408" s="135"/>
      <c r="D408" s="135"/>
      <c r="E408" s="135"/>
      <c r="F408" s="135"/>
      <c r="G408" s="135"/>
      <c r="H408" s="135"/>
      <c r="I408" s="135"/>
      <c r="J408" s="135"/>
      <c r="K408" s="135"/>
      <c r="L408" s="135"/>
      <c r="M408" s="135"/>
      <c r="N408" s="138" t="s">
        <v>228</v>
      </c>
      <c r="O408" s="135"/>
      <c r="P408" s="135"/>
      <c r="Q408" s="135"/>
      <c r="R408" s="135"/>
      <c r="S408" s="135"/>
      <c r="T408" s="135"/>
      <c r="U408" s="135"/>
      <c r="V408" s="135"/>
      <c r="W408" s="135"/>
      <c r="X408" s="135"/>
      <c r="Y408" s="135"/>
      <c r="Z408" s="135"/>
      <c r="AA408" s="135"/>
      <c r="AB408" s="135"/>
      <c r="AC408" s="135"/>
      <c r="AD408" s="135"/>
      <c r="AE408" s="135"/>
      <c r="AF408" s="135"/>
      <c r="AG408" s="135"/>
      <c r="AH408" s="135"/>
      <c r="AI408" s="135"/>
      <c r="AJ408" s="135"/>
      <c r="AK408" s="135"/>
      <c r="AL408" s="135"/>
      <c r="AM408" s="135"/>
      <c r="AN408" s="135"/>
      <c r="AO408" s="135"/>
      <c r="AP408" s="135"/>
      <c r="AQ408" s="135"/>
      <c r="AR408" s="135"/>
      <c r="AS408" s="135"/>
      <c r="AT408" s="135"/>
      <c r="AU408" s="135"/>
      <c r="AV408" s="135"/>
      <c r="AW408" s="135"/>
      <c r="AX408" s="135"/>
      <c r="AY408" s="135"/>
      <c r="AZ408" s="135"/>
      <c r="BA408" s="135"/>
      <c r="BB408" s="135"/>
      <c r="BC408" s="135"/>
      <c r="BD408" s="135"/>
      <c r="BE408" s="135"/>
      <c r="BF408" s="135"/>
      <c r="BG408" s="135"/>
      <c r="BH408" s="135"/>
      <c r="BI408" s="135"/>
      <c r="BJ408" s="135"/>
      <c r="BK408" s="135"/>
      <c r="BL408" s="135"/>
      <c r="BM408" s="135"/>
      <c r="BN408" s="135"/>
      <c r="BO408" s="135"/>
      <c r="BP408" s="135"/>
      <c r="BQ408" s="135"/>
      <c r="BR408" s="135"/>
      <c r="BS408" s="135"/>
      <c r="BT408" s="135"/>
      <c r="BU408" s="135"/>
      <c r="BV408" s="135"/>
      <c r="BW408" s="135"/>
      <c r="BX408" s="135"/>
      <c r="BY408" s="135"/>
      <c r="BZ408" s="135"/>
      <c r="CA408" s="135"/>
      <c r="CB408" s="135"/>
      <c r="CC408" s="135"/>
      <c r="CD408" s="135"/>
      <c r="CE408" s="135"/>
      <c r="CF408" s="135"/>
      <c r="CG408" s="135"/>
      <c r="CH408" s="135"/>
      <c r="CI408" s="135"/>
      <c r="CJ408" s="135"/>
      <c r="CK408" s="135"/>
      <c r="CL408" s="135"/>
      <c r="CM408" s="135"/>
      <c r="CN408" s="135"/>
      <c r="CO408" s="135"/>
      <c r="CP408" s="135"/>
      <c r="CQ408" s="135"/>
      <c r="CR408" s="135"/>
      <c r="CS408" s="135"/>
      <c r="CT408" s="135"/>
      <c r="CU408" s="135"/>
      <c r="CV408" s="135"/>
      <c r="CW408" s="135"/>
      <c r="CX408" s="136"/>
    </row>
    <row r="409" spans="2:102">
      <c r="B409" s="139"/>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c r="AA409" s="140"/>
      <c r="AB409" s="140"/>
      <c r="AC409" s="140"/>
      <c r="AD409" s="140"/>
      <c r="AE409" s="140"/>
      <c r="AF409" s="140"/>
      <c r="AG409" s="140"/>
      <c r="AH409" s="140"/>
      <c r="AI409" s="140"/>
      <c r="AJ409" s="140"/>
      <c r="AK409" s="140"/>
      <c r="AL409" s="140"/>
      <c r="AM409" s="140"/>
      <c r="AN409" s="140"/>
      <c r="AO409" s="140"/>
      <c r="AP409" s="140"/>
      <c r="AQ409" s="140"/>
      <c r="AR409" s="140"/>
      <c r="AS409" s="140"/>
      <c r="AT409" s="140"/>
      <c r="AU409" s="140"/>
      <c r="AV409" s="140"/>
      <c r="AW409" s="140"/>
      <c r="AX409" s="140"/>
      <c r="AY409" s="140"/>
      <c r="AZ409" s="140"/>
      <c r="BA409" s="140"/>
      <c r="BB409" s="140"/>
      <c r="BC409" s="140"/>
      <c r="BD409" s="140"/>
      <c r="BE409" s="140"/>
      <c r="BF409" s="140"/>
      <c r="BG409" s="140"/>
      <c r="BH409" s="140"/>
      <c r="BI409" s="140"/>
      <c r="BJ409" s="140"/>
      <c r="BK409" s="140"/>
      <c r="BL409" s="140"/>
      <c r="BM409" s="140"/>
      <c r="BN409" s="140"/>
      <c r="BO409" s="140"/>
      <c r="BP409" s="140"/>
      <c r="BQ409" s="140"/>
      <c r="BR409" s="140"/>
      <c r="BS409" s="140"/>
      <c r="BT409" s="140"/>
      <c r="BU409" s="140"/>
      <c r="BV409" s="140"/>
      <c r="BW409" s="140"/>
      <c r="BX409" s="140"/>
      <c r="BY409" s="140"/>
      <c r="BZ409" s="140"/>
      <c r="CA409" s="140"/>
      <c r="CB409" s="140"/>
      <c r="CC409" s="140"/>
      <c r="CD409" s="140"/>
      <c r="CE409" s="140"/>
      <c r="CF409" s="140"/>
      <c r="CG409" s="140"/>
      <c r="CH409" s="140"/>
      <c r="CI409" s="140"/>
      <c r="CJ409" s="140"/>
      <c r="CK409" s="140"/>
      <c r="CL409" s="140"/>
      <c r="CM409" s="140"/>
      <c r="CN409" s="140"/>
      <c r="CO409" s="140"/>
      <c r="CP409" s="140"/>
      <c r="CQ409" s="140"/>
      <c r="CR409" s="140"/>
      <c r="CS409" s="140"/>
      <c r="CT409" s="140"/>
      <c r="CU409" s="140"/>
      <c r="CV409" s="140"/>
      <c r="CW409" s="140"/>
      <c r="CX409" s="141"/>
    </row>
  </sheetData>
  <mergeCells count="23">
    <mergeCell ref="B5:CX5"/>
    <mergeCell ref="CC3:CM3"/>
    <mergeCell ref="BW2:CB2"/>
    <mergeCell ref="BW3:CB3"/>
    <mergeCell ref="CR3:CX3"/>
    <mergeCell ref="O3:AH3"/>
    <mergeCell ref="O2:AH2"/>
    <mergeCell ref="AI2:AS2"/>
    <mergeCell ref="CR1:CX1"/>
    <mergeCell ref="CC2:CM2"/>
    <mergeCell ref="B3:N3"/>
    <mergeCell ref="B2:N2"/>
    <mergeCell ref="B1:G1"/>
    <mergeCell ref="H1:N1"/>
    <mergeCell ref="CR2:CX2"/>
    <mergeCell ref="O1:AA1"/>
    <mergeCell ref="AB1:CM1"/>
    <mergeCell ref="CN1:CQ1"/>
    <mergeCell ref="CN2:CQ2"/>
    <mergeCell ref="CN3:CQ3"/>
    <mergeCell ref="AI3:AS3"/>
    <mergeCell ref="AT2:BV2"/>
    <mergeCell ref="AT3:BV3"/>
  </mergeCells>
  <phoneticPr fontId="6" type="noConversion"/>
  <printOptions horizontalCentered="1"/>
  <pageMargins left="0.23622047244094491" right="0.23622047244094491" top="0.59055118110236227" bottom="0.23622047244094491" header="0.47244094488188981" footer="0.19685039370078741"/>
  <pageSetup paperSize="9" scale="94" orientation="landscape" r:id="rId1"/>
  <headerFooter alignWithMargins="0">
    <oddHeader>&amp;L&amp;"Calibri"&amp;13&amp;K000000 •• PROTECTED&amp;1#_x000D_&amp;R
&amp;P/&amp;N</oddHeader>
  </headerFooter>
  <rowBreaks count="2" manualBreakCount="2">
    <brk id="51" max="101" man="1"/>
    <brk id="91" max="101"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5:CT100"/>
  <sheetViews>
    <sheetView showGridLines="0" view="pageBreakPreview" topLeftCell="A69" zoomScaleNormal="85" zoomScaleSheetLayoutView="85" workbookViewId="0"/>
  </sheetViews>
  <sheetFormatPr defaultColWidth="10.265625" defaultRowHeight="12" customHeight="1"/>
  <cols>
    <col min="1" max="7" width="1.73046875" style="63" customWidth="1"/>
    <col min="8" max="8" width="2" style="63" customWidth="1"/>
    <col min="9" max="42" width="1.73046875" style="63" customWidth="1"/>
    <col min="43" max="43" width="1.59765625" style="63" customWidth="1"/>
    <col min="44" max="81" width="1.73046875" style="63" customWidth="1"/>
    <col min="82" max="82" width="2.265625" style="63" customWidth="1"/>
    <col min="83" max="83" width="26.265625" style="63" customWidth="1"/>
    <col min="84" max="84" width="9.265625" style="63" customWidth="1"/>
    <col min="85" max="16384" width="10.265625" style="63"/>
  </cols>
  <sheetData>
    <row r="5" spans="1:98" ht="15" customHeight="1">
      <c r="A5" s="64"/>
      <c r="B5" s="65" t="s">
        <v>229</v>
      </c>
      <c r="C5" s="66"/>
      <c r="D5" s="73"/>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L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c r="BY5" s="64"/>
      <c r="BZ5" s="64"/>
      <c r="CA5" s="64"/>
      <c r="CB5" s="64"/>
      <c r="CC5" s="64"/>
    </row>
    <row r="6" spans="1:98" ht="12" customHeight="1">
      <c r="A6" s="64"/>
      <c r="B6" s="64"/>
      <c r="C6" s="67"/>
      <c r="D6" s="68"/>
      <c r="E6" s="69"/>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row>
    <row r="7" spans="1:98" s="69" customFormat="1" ht="15.75" customHeight="1">
      <c r="B7" s="77" t="s">
        <v>230</v>
      </c>
      <c r="D7" s="68"/>
      <c r="E7" s="63"/>
      <c r="BB7" s="71"/>
      <c r="BC7" s="71"/>
      <c r="BD7" s="71"/>
      <c r="BE7" s="71"/>
      <c r="BF7" s="71"/>
      <c r="BG7" s="71"/>
      <c r="BH7" s="71"/>
      <c r="BI7" s="71"/>
      <c r="BJ7" s="71"/>
      <c r="BK7" s="71"/>
      <c r="BL7" s="71"/>
      <c r="BM7" s="70"/>
      <c r="BN7" s="70"/>
      <c r="BO7" s="70"/>
      <c r="BP7" s="70"/>
      <c r="BQ7" s="70"/>
      <c r="BR7" s="70"/>
      <c r="BS7" s="70"/>
      <c r="BT7" s="70"/>
      <c r="BU7" s="70"/>
      <c r="BV7" s="70"/>
      <c r="BW7" s="70"/>
      <c r="BX7" s="70"/>
      <c r="BY7" s="70"/>
      <c r="BZ7" s="70"/>
      <c r="CA7" s="70"/>
      <c r="CB7" s="70"/>
      <c r="CC7" s="70"/>
    </row>
    <row r="8" spans="1:98" s="69" customFormat="1" ht="16.5" customHeight="1">
      <c r="B8" s="68"/>
      <c r="C8" s="78" t="s">
        <v>231</v>
      </c>
      <c r="BB8" s="71"/>
      <c r="BC8" s="71"/>
      <c r="BD8" s="71"/>
      <c r="BE8" s="71"/>
      <c r="BF8" s="71"/>
      <c r="BG8" s="71"/>
      <c r="BH8" s="71"/>
      <c r="BI8" s="71"/>
      <c r="BJ8" s="71"/>
      <c r="BK8" s="71"/>
      <c r="BL8" s="71"/>
      <c r="BM8" s="70"/>
      <c r="BN8" s="70"/>
      <c r="BO8" s="70"/>
      <c r="BP8" s="70"/>
      <c r="BQ8" s="70"/>
      <c r="BR8" s="70"/>
      <c r="BS8" s="70"/>
      <c r="BT8" s="70"/>
      <c r="BU8" s="70"/>
      <c r="BV8" s="70"/>
      <c r="BW8" s="70"/>
      <c r="BX8" s="70"/>
      <c r="BY8" s="70"/>
      <c r="BZ8" s="70"/>
      <c r="CA8" s="70"/>
      <c r="CB8" s="70"/>
      <c r="CC8" s="70"/>
    </row>
    <row r="9" spans="1:98" ht="15" customHeight="1">
      <c r="A9" s="64"/>
      <c r="B9" s="78"/>
      <c r="C9" s="78" t="s">
        <v>232</v>
      </c>
      <c r="D9" s="78"/>
      <c r="E9" s="78"/>
      <c r="F9" s="78"/>
      <c r="G9" s="78"/>
      <c r="H9" s="78"/>
      <c r="I9" s="78"/>
      <c r="J9" s="78"/>
      <c r="K9" s="78"/>
      <c r="L9" s="78"/>
      <c r="M9" s="78"/>
      <c r="N9" s="78"/>
      <c r="O9" s="78"/>
      <c r="P9" s="78"/>
      <c r="Q9" s="78"/>
      <c r="R9" s="78"/>
      <c r="S9" s="78"/>
      <c r="T9" s="78"/>
      <c r="U9" s="78"/>
      <c r="V9" s="78"/>
      <c r="W9" s="78"/>
      <c r="X9" s="78"/>
      <c r="Y9" s="76"/>
      <c r="Z9" s="76"/>
      <c r="AA9" s="76"/>
      <c r="AB9" s="76"/>
      <c r="AC9" s="76"/>
      <c r="AD9" s="76"/>
      <c r="AE9" s="76"/>
      <c r="AF9" s="76"/>
      <c r="AG9" s="76"/>
      <c r="AH9" s="76"/>
      <c r="AI9" s="76"/>
      <c r="AJ9" s="73"/>
      <c r="AK9" s="73"/>
      <c r="AL9" s="73"/>
      <c r="AM9" s="73"/>
      <c r="AN9" s="73"/>
      <c r="AO9" s="73"/>
      <c r="AP9" s="73"/>
      <c r="AQ9" s="73"/>
      <c r="AR9" s="73"/>
      <c r="AS9" s="73"/>
      <c r="AT9" s="73"/>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c r="CC9" s="73"/>
    </row>
    <row r="10" spans="1:98" ht="12.75">
      <c r="A10" s="64"/>
      <c r="B10" s="78"/>
      <c r="C10" s="78" t="s">
        <v>233</v>
      </c>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64"/>
      <c r="BT10" s="64"/>
      <c r="BU10" s="64"/>
      <c r="BV10" s="64"/>
      <c r="BW10" s="64"/>
      <c r="BX10" s="64"/>
      <c r="BY10" s="64"/>
      <c r="BZ10" s="74"/>
      <c r="CA10" s="64"/>
      <c r="CB10" s="64"/>
      <c r="CC10" s="64"/>
    </row>
    <row r="11" spans="1:98" ht="12" customHeight="1">
      <c r="A11" s="64"/>
      <c r="B11" s="78"/>
      <c r="D11" s="78"/>
      <c r="E11" s="78"/>
      <c r="F11" s="78"/>
      <c r="G11" s="78"/>
      <c r="H11" s="78"/>
      <c r="I11" s="78"/>
      <c r="J11" s="78"/>
      <c r="K11" s="78"/>
      <c r="L11" s="78"/>
      <c r="M11" s="78"/>
      <c r="N11" s="78"/>
      <c r="O11" s="78"/>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c r="BP11" s="78"/>
      <c r="BQ11" s="78"/>
      <c r="BR11" s="78"/>
      <c r="BS11" s="64"/>
      <c r="BT11" s="64"/>
      <c r="BU11" s="64"/>
      <c r="BV11" s="64"/>
      <c r="BW11" s="64"/>
      <c r="BX11" s="64"/>
      <c r="BY11" s="64"/>
      <c r="BZ11" s="74"/>
      <c r="CA11" s="64"/>
      <c r="CB11" s="64"/>
      <c r="CC11" s="64"/>
    </row>
    <row r="12" spans="1:98" ht="12" customHeight="1">
      <c r="A12" s="64"/>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64"/>
      <c r="BT12" s="64"/>
      <c r="BU12" s="64"/>
      <c r="BV12" s="64"/>
      <c r="BW12" s="64"/>
      <c r="BX12" s="64"/>
      <c r="BY12" s="64"/>
      <c r="BZ12" s="74"/>
      <c r="CA12" s="64"/>
      <c r="CB12" s="64"/>
      <c r="CC12" s="64"/>
    </row>
    <row r="13" spans="1:98" ht="12" customHeight="1">
      <c r="A13" s="64"/>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64"/>
      <c r="BT13" s="64"/>
      <c r="BU13" s="64"/>
      <c r="BV13" s="64"/>
      <c r="BW13" s="64"/>
      <c r="BX13" s="64"/>
      <c r="BY13" s="64"/>
      <c r="BZ13" s="74"/>
      <c r="CA13" s="64"/>
      <c r="CB13" s="64"/>
      <c r="CC13" s="64"/>
    </row>
    <row r="14" spans="1:98" ht="12" customHeight="1">
      <c r="A14" s="64"/>
      <c r="B14" s="78"/>
      <c r="C14" s="78"/>
      <c r="D14" s="78"/>
      <c r="E14" s="78"/>
      <c r="F14" s="78"/>
      <c r="G14" s="78"/>
      <c r="H14" s="78"/>
      <c r="I14" s="78"/>
      <c r="J14" s="78"/>
      <c r="K14" s="78"/>
      <c r="L14" s="78"/>
      <c r="M14" s="7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64"/>
      <c r="BT14" s="64"/>
      <c r="BU14" s="64"/>
      <c r="BV14" s="64"/>
      <c r="BW14" s="64"/>
      <c r="BX14" s="64"/>
      <c r="BY14" s="64"/>
      <c r="BZ14" s="74"/>
      <c r="CA14" s="64"/>
      <c r="CB14" s="64"/>
      <c r="CC14" s="64"/>
    </row>
    <row r="15" spans="1:98" ht="12" customHeight="1">
      <c r="A15" s="64"/>
      <c r="B15" s="78"/>
      <c r="C15" s="78"/>
      <c r="D15" s="78"/>
      <c r="E15" s="78"/>
      <c r="F15" s="78"/>
      <c r="G15" s="78"/>
      <c r="H15" s="78"/>
      <c r="I15" s="78"/>
      <c r="J15" s="78"/>
      <c r="K15" s="78"/>
      <c r="L15" s="78"/>
      <c r="M15" s="7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64"/>
      <c r="BT15" s="64"/>
      <c r="BU15" s="64"/>
      <c r="BV15" s="64"/>
      <c r="BW15" s="64"/>
      <c r="BX15" s="64"/>
      <c r="BY15" s="64"/>
      <c r="BZ15" s="74"/>
      <c r="CA15" s="64"/>
      <c r="CB15" s="64"/>
      <c r="CC15" s="64"/>
      <c r="CE15" s="79"/>
      <c r="CF15" s="80">
        <v>38516</v>
      </c>
      <c r="CG15" s="80">
        <f t="shared" ref="CG15:CT15" si="0">CF15+7</f>
        <v>38523</v>
      </c>
      <c r="CH15" s="80">
        <f t="shared" si="0"/>
        <v>38530</v>
      </c>
      <c r="CI15" s="80">
        <f t="shared" si="0"/>
        <v>38537</v>
      </c>
      <c r="CJ15" s="80">
        <f t="shared" si="0"/>
        <v>38544</v>
      </c>
      <c r="CK15" s="80">
        <f t="shared" si="0"/>
        <v>38551</v>
      </c>
      <c r="CL15" s="80">
        <f t="shared" si="0"/>
        <v>38558</v>
      </c>
      <c r="CM15" s="80">
        <f t="shared" si="0"/>
        <v>38565</v>
      </c>
      <c r="CN15" s="80">
        <f t="shared" si="0"/>
        <v>38572</v>
      </c>
      <c r="CO15" s="80">
        <f t="shared" si="0"/>
        <v>38579</v>
      </c>
      <c r="CP15" s="80">
        <f t="shared" si="0"/>
        <v>38586</v>
      </c>
      <c r="CQ15" s="80">
        <f t="shared" si="0"/>
        <v>38593</v>
      </c>
      <c r="CR15" s="80">
        <f t="shared" si="0"/>
        <v>38600</v>
      </c>
      <c r="CS15" s="80">
        <f t="shared" si="0"/>
        <v>38607</v>
      </c>
      <c r="CT15" s="80">
        <f t="shared" si="0"/>
        <v>38614</v>
      </c>
    </row>
    <row r="16" spans="1:98" ht="12" customHeight="1">
      <c r="A16" s="64"/>
      <c r="B16" s="78"/>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64"/>
      <c r="BT16" s="64"/>
      <c r="BU16" s="64"/>
      <c r="BV16" s="64"/>
      <c r="BW16" s="64"/>
      <c r="BX16" s="64"/>
      <c r="BY16" s="64"/>
      <c r="BZ16" s="74"/>
      <c r="CA16" s="64"/>
      <c r="CB16" s="64"/>
      <c r="CC16" s="64"/>
      <c r="CE16" s="81" t="s">
        <v>77</v>
      </c>
      <c r="CF16" s="81">
        <v>300</v>
      </c>
      <c r="CG16" s="81">
        <v>290</v>
      </c>
      <c r="CH16" s="81">
        <v>280</v>
      </c>
      <c r="CI16" s="81">
        <v>270</v>
      </c>
      <c r="CJ16" s="81">
        <v>240</v>
      </c>
      <c r="CK16" s="81">
        <v>210</v>
      </c>
      <c r="CL16" s="81">
        <v>180</v>
      </c>
      <c r="CM16" s="81">
        <v>150</v>
      </c>
      <c r="CN16" s="81">
        <v>120</v>
      </c>
      <c r="CO16" s="81">
        <v>90</v>
      </c>
      <c r="CP16" s="81">
        <v>60</v>
      </c>
      <c r="CQ16" s="81">
        <v>30</v>
      </c>
      <c r="CR16" s="81">
        <v>20</v>
      </c>
      <c r="CS16" s="81">
        <v>10</v>
      </c>
      <c r="CT16" s="81">
        <v>0</v>
      </c>
    </row>
    <row r="17" spans="1:98" ht="12" customHeight="1">
      <c r="A17" s="64"/>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64"/>
      <c r="BT17" s="64"/>
      <c r="BU17" s="64"/>
      <c r="BV17" s="64"/>
      <c r="BW17" s="64"/>
      <c r="BX17" s="64"/>
      <c r="BY17" s="64"/>
      <c r="BZ17" s="74"/>
      <c r="CA17" s="64"/>
      <c r="CB17" s="64"/>
      <c r="CC17" s="64"/>
      <c r="CE17" s="81" t="s">
        <v>234</v>
      </c>
      <c r="CF17" s="81">
        <v>0</v>
      </c>
      <c r="CG17" s="81">
        <v>1</v>
      </c>
      <c r="CH17" s="81">
        <v>2</v>
      </c>
      <c r="CI17" s="81">
        <v>3</v>
      </c>
      <c r="CJ17" s="81">
        <v>6</v>
      </c>
      <c r="CK17" s="81">
        <v>9</v>
      </c>
      <c r="CL17" s="81">
        <v>12</v>
      </c>
      <c r="CM17" s="81">
        <v>15</v>
      </c>
      <c r="CN17" s="81">
        <v>18</v>
      </c>
      <c r="CO17" s="81">
        <v>21</v>
      </c>
      <c r="CP17" s="81">
        <v>24</v>
      </c>
      <c r="CQ17" s="81">
        <v>27</v>
      </c>
      <c r="CR17" s="81">
        <v>28</v>
      </c>
      <c r="CS17" s="81">
        <v>29</v>
      </c>
      <c r="CT17" s="81">
        <v>30</v>
      </c>
    </row>
    <row r="18" spans="1:98" ht="12" customHeight="1">
      <c r="A18" s="64"/>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64"/>
      <c r="BT18" s="64"/>
      <c r="BU18" s="64"/>
      <c r="BV18" s="64"/>
      <c r="BW18" s="64"/>
      <c r="BX18" s="64"/>
      <c r="BY18" s="64"/>
      <c r="BZ18" s="74"/>
      <c r="CA18" s="64"/>
      <c r="CB18" s="64"/>
      <c r="CC18" s="64"/>
    </row>
    <row r="19" spans="1:98" ht="12" customHeight="1">
      <c r="A19" s="64"/>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64"/>
      <c r="BT19" s="64"/>
      <c r="BU19" s="64"/>
      <c r="BV19" s="64"/>
      <c r="BW19" s="64"/>
      <c r="BX19" s="64"/>
      <c r="BY19" s="64"/>
      <c r="BZ19" s="74"/>
      <c r="CA19" s="64"/>
      <c r="CB19" s="64"/>
      <c r="CC19" s="64"/>
    </row>
    <row r="20" spans="1:98" ht="12" customHeight="1">
      <c r="A20" s="64"/>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64"/>
      <c r="BT20" s="64"/>
      <c r="BU20" s="64"/>
      <c r="BV20" s="64"/>
      <c r="BW20" s="64"/>
      <c r="BX20" s="64"/>
      <c r="BY20" s="64"/>
      <c r="BZ20" s="74"/>
      <c r="CA20" s="64"/>
      <c r="CB20" s="64"/>
      <c r="CC20" s="64"/>
    </row>
    <row r="21" spans="1:98" ht="12" customHeight="1">
      <c r="A21" s="64"/>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64"/>
      <c r="BT21" s="64"/>
      <c r="BU21" s="64"/>
      <c r="BV21" s="64"/>
      <c r="BW21" s="64"/>
      <c r="BX21" s="64"/>
      <c r="BY21" s="64"/>
      <c r="BZ21" s="74"/>
      <c r="CA21" s="64"/>
      <c r="CB21" s="64"/>
      <c r="CC21" s="64"/>
    </row>
    <row r="22" spans="1:98" ht="12" customHeight="1">
      <c r="A22" s="64"/>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64"/>
      <c r="BT22" s="64"/>
      <c r="BU22" s="64"/>
      <c r="BV22" s="64"/>
      <c r="BW22" s="64"/>
      <c r="BX22" s="64"/>
      <c r="BY22" s="64"/>
      <c r="BZ22" s="74"/>
      <c r="CA22" s="64"/>
      <c r="CB22" s="64"/>
      <c r="CC22" s="64"/>
    </row>
    <row r="23" spans="1:98" ht="12" customHeight="1">
      <c r="A23" s="64"/>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64"/>
      <c r="BT23" s="64"/>
      <c r="BU23" s="64"/>
      <c r="BV23" s="64"/>
      <c r="BW23" s="64"/>
      <c r="BX23" s="64"/>
      <c r="BY23" s="64"/>
      <c r="BZ23" s="74"/>
      <c r="CA23" s="64"/>
      <c r="CB23" s="64"/>
      <c r="CC23" s="64"/>
    </row>
    <row r="24" spans="1:98" ht="12" customHeight="1">
      <c r="A24" s="64"/>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64"/>
      <c r="BT24" s="64"/>
      <c r="BU24" s="64"/>
      <c r="BV24" s="64"/>
      <c r="BW24" s="64"/>
      <c r="BX24" s="64"/>
      <c r="BY24" s="64"/>
      <c r="BZ24" s="74"/>
      <c r="CA24" s="64"/>
      <c r="CB24" s="64"/>
      <c r="CC24" s="64"/>
    </row>
    <row r="25" spans="1:98" ht="12" customHeight="1">
      <c r="A25" s="64"/>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64"/>
      <c r="BT25" s="64"/>
      <c r="BU25" s="64"/>
      <c r="BV25" s="64"/>
      <c r="BW25" s="64"/>
      <c r="BX25" s="64"/>
      <c r="BY25" s="64"/>
      <c r="BZ25" s="74"/>
      <c r="CA25" s="64"/>
      <c r="CB25" s="64"/>
      <c r="CC25" s="64"/>
    </row>
    <row r="26" spans="1:98" ht="12" customHeight="1">
      <c r="A26" s="64"/>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64"/>
      <c r="BT26" s="64"/>
      <c r="BU26" s="64"/>
      <c r="BV26" s="64"/>
      <c r="BW26" s="64"/>
      <c r="BX26" s="64"/>
      <c r="BY26" s="64"/>
      <c r="BZ26" s="74"/>
      <c r="CA26" s="64"/>
      <c r="CB26" s="64"/>
      <c r="CC26" s="64"/>
    </row>
    <row r="27" spans="1:98" ht="12" customHeight="1">
      <c r="A27" s="64"/>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64"/>
      <c r="BT27" s="64"/>
      <c r="BU27" s="64"/>
      <c r="BV27" s="64"/>
      <c r="BW27" s="64"/>
      <c r="BX27" s="64"/>
      <c r="BY27" s="64"/>
      <c r="BZ27" s="74"/>
      <c r="CA27" s="64"/>
      <c r="CB27" s="64"/>
      <c r="CC27" s="64"/>
    </row>
    <row r="28" spans="1:98" ht="12" customHeight="1">
      <c r="A28" s="64"/>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64"/>
      <c r="BT28" s="64"/>
      <c r="BU28" s="64"/>
      <c r="BV28" s="64"/>
      <c r="BW28" s="64"/>
      <c r="BX28" s="64"/>
      <c r="BY28" s="64"/>
      <c r="BZ28" s="74"/>
      <c r="CA28" s="64"/>
      <c r="CB28" s="64"/>
      <c r="CC28" s="64"/>
    </row>
    <row r="29" spans="1:98" ht="12" customHeight="1">
      <c r="A29" s="64"/>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64"/>
      <c r="BT29" s="64"/>
      <c r="BU29" s="64"/>
      <c r="BV29" s="64"/>
      <c r="BW29" s="64"/>
      <c r="BX29" s="64"/>
      <c r="BY29" s="64"/>
      <c r="BZ29" s="74"/>
      <c r="CA29" s="64"/>
      <c r="CB29" s="64"/>
      <c r="CC29" s="64"/>
    </row>
    <row r="30" spans="1:98" ht="12" customHeight="1">
      <c r="A30" s="64"/>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64"/>
      <c r="BT30" s="64"/>
      <c r="BU30" s="64"/>
      <c r="BV30" s="64"/>
      <c r="BW30" s="64"/>
      <c r="BX30" s="64"/>
      <c r="BY30" s="64"/>
      <c r="BZ30" s="74"/>
      <c r="CA30" s="64"/>
      <c r="CB30" s="64"/>
      <c r="CC30" s="64"/>
    </row>
    <row r="31" spans="1:98" ht="12" customHeight="1">
      <c r="A31" s="64"/>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64"/>
      <c r="BT31" s="64"/>
      <c r="BU31" s="64"/>
      <c r="BV31" s="64"/>
      <c r="BW31" s="64"/>
      <c r="BX31" s="64"/>
      <c r="BY31" s="64"/>
      <c r="BZ31" s="74"/>
      <c r="CA31" s="64"/>
      <c r="CB31" s="64"/>
      <c r="CC31" s="64"/>
    </row>
    <row r="32" spans="1:98" ht="12" customHeight="1">
      <c r="A32" s="64"/>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64"/>
      <c r="BT32" s="64"/>
      <c r="BU32" s="64"/>
      <c r="BV32" s="64"/>
      <c r="BW32" s="64"/>
      <c r="BX32" s="64"/>
      <c r="BY32" s="64"/>
      <c r="BZ32" s="74"/>
      <c r="CA32" s="64"/>
      <c r="CB32" s="64"/>
      <c r="CC32" s="64"/>
    </row>
    <row r="33" spans="1:81" ht="12" customHeight="1">
      <c r="A33" s="64"/>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64"/>
      <c r="BT33" s="64"/>
      <c r="BU33" s="64"/>
      <c r="BV33" s="64"/>
      <c r="BW33" s="64"/>
      <c r="BX33" s="64"/>
      <c r="BY33" s="64"/>
      <c r="BZ33" s="74"/>
      <c r="CA33" s="64"/>
      <c r="CB33" s="64"/>
      <c r="CC33" s="64"/>
    </row>
    <row r="34" spans="1:81" ht="12" customHeight="1">
      <c r="A34" s="64"/>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64"/>
      <c r="BT34" s="64"/>
      <c r="BU34" s="64"/>
      <c r="BV34" s="64"/>
      <c r="BW34" s="64"/>
      <c r="BX34" s="64"/>
      <c r="BY34" s="64"/>
      <c r="BZ34" s="74"/>
      <c r="CA34" s="64"/>
      <c r="CB34" s="64"/>
      <c r="CC34" s="64"/>
    </row>
    <row r="35" spans="1:81" ht="12" customHeight="1">
      <c r="A35" s="64"/>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64"/>
      <c r="BT35" s="64"/>
      <c r="BU35" s="64"/>
      <c r="BV35" s="64"/>
      <c r="BW35" s="64"/>
      <c r="BX35" s="64"/>
      <c r="BY35" s="64"/>
      <c r="BZ35" s="74"/>
      <c r="CA35" s="64"/>
      <c r="CB35" s="64"/>
      <c r="CC35" s="64"/>
    </row>
    <row r="36" spans="1:81" ht="12" customHeight="1">
      <c r="A36" s="64"/>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64"/>
      <c r="BT36" s="64"/>
      <c r="BU36" s="64"/>
      <c r="BV36" s="64"/>
      <c r="BW36" s="64"/>
      <c r="BX36" s="64"/>
      <c r="BY36" s="64"/>
      <c r="BZ36" s="74"/>
      <c r="CA36" s="64"/>
      <c r="CB36" s="64"/>
      <c r="CC36" s="64"/>
    </row>
    <row r="37" spans="1:81" ht="12" customHeight="1">
      <c r="A37" s="64"/>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64"/>
      <c r="BT37" s="64"/>
      <c r="BU37" s="64"/>
      <c r="BV37" s="64"/>
      <c r="BW37" s="64"/>
      <c r="BX37" s="64"/>
      <c r="BY37" s="64"/>
      <c r="BZ37" s="74"/>
      <c r="CA37" s="64"/>
      <c r="CB37" s="64"/>
      <c r="CC37" s="64"/>
    </row>
    <row r="38" spans="1:81" ht="12" customHeight="1">
      <c r="A38" s="64"/>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64"/>
      <c r="BT38" s="64"/>
      <c r="BU38" s="64"/>
      <c r="BV38" s="64"/>
      <c r="BW38" s="64"/>
      <c r="BX38" s="64"/>
      <c r="BY38" s="64"/>
      <c r="BZ38" s="74"/>
      <c r="CA38" s="64"/>
      <c r="CB38" s="64"/>
      <c r="CC38" s="64"/>
    </row>
    <row r="39" spans="1:81" ht="12" customHeight="1">
      <c r="A39" s="64"/>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64"/>
      <c r="BT39" s="64"/>
      <c r="BU39" s="64"/>
      <c r="BV39" s="64"/>
      <c r="BW39" s="64"/>
      <c r="BX39" s="64"/>
      <c r="BY39" s="64"/>
      <c r="BZ39" s="74"/>
      <c r="CA39" s="64"/>
      <c r="CB39" s="64"/>
      <c r="CC39" s="64"/>
    </row>
    <row r="40" spans="1:81" ht="12" customHeight="1">
      <c r="A40" s="64"/>
      <c r="B40" s="78"/>
      <c r="C40" s="78" t="s">
        <v>235</v>
      </c>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64"/>
      <c r="BT40" s="64"/>
      <c r="BU40" s="64"/>
      <c r="BV40" s="64"/>
      <c r="BW40" s="64"/>
      <c r="BX40" s="64"/>
      <c r="BY40" s="64"/>
      <c r="BZ40" s="74"/>
      <c r="CA40" s="64"/>
      <c r="CB40" s="64"/>
      <c r="CC40" s="64"/>
    </row>
    <row r="41" spans="1:81" ht="12" customHeight="1">
      <c r="A41" s="64"/>
      <c r="B41" s="78"/>
      <c r="C41" s="78" t="s">
        <v>236</v>
      </c>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64"/>
      <c r="BT41" s="64"/>
      <c r="BU41" s="64"/>
      <c r="BV41" s="64"/>
      <c r="BW41" s="64"/>
      <c r="BX41" s="64"/>
      <c r="BY41" s="64"/>
      <c r="BZ41" s="74"/>
      <c r="CA41" s="64"/>
      <c r="CB41" s="64"/>
      <c r="CC41" s="64"/>
    </row>
    <row r="42" spans="1:81" ht="12" customHeight="1">
      <c r="A42" s="64"/>
      <c r="B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64"/>
      <c r="BT42" s="64"/>
      <c r="BU42" s="64"/>
      <c r="BV42" s="64"/>
      <c r="BW42" s="64"/>
      <c r="BX42" s="64"/>
      <c r="BY42" s="64"/>
      <c r="BZ42" s="74"/>
      <c r="CA42" s="64"/>
      <c r="CB42" s="64"/>
      <c r="CC42" s="64"/>
    </row>
    <row r="43" spans="1:81" ht="12" customHeight="1">
      <c r="A43" s="64"/>
      <c r="B43" s="78"/>
      <c r="C43" s="78" t="s">
        <v>237</v>
      </c>
      <c r="D43" s="75"/>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64"/>
      <c r="BT43" s="64"/>
      <c r="BU43" s="64"/>
      <c r="BV43" s="64"/>
      <c r="BW43" s="64"/>
      <c r="BX43" s="64"/>
      <c r="BY43" s="64"/>
      <c r="BZ43" s="74"/>
      <c r="CA43" s="64"/>
      <c r="CB43" s="64"/>
      <c r="CC43" s="64"/>
    </row>
    <row r="44" spans="1:81" ht="12" customHeight="1">
      <c r="A44" s="64"/>
      <c r="B44" s="78"/>
      <c r="C44" s="78" t="s">
        <v>238</v>
      </c>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64"/>
      <c r="BT44" s="64"/>
      <c r="BU44" s="64"/>
      <c r="BV44" s="64"/>
      <c r="BW44" s="64"/>
      <c r="BX44" s="64"/>
      <c r="BY44" s="64"/>
      <c r="BZ44" s="74"/>
      <c r="CA44" s="64"/>
      <c r="CB44" s="64"/>
      <c r="CC44" s="64"/>
    </row>
    <row r="45" spans="1:81" ht="12" customHeight="1">
      <c r="A45" s="64"/>
      <c r="B45" s="78"/>
      <c r="C45" s="78" t="s">
        <v>239</v>
      </c>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64"/>
      <c r="BT45" s="64"/>
      <c r="BU45" s="64"/>
      <c r="BV45" s="64"/>
      <c r="BW45" s="64"/>
      <c r="BX45" s="64"/>
      <c r="BY45" s="64"/>
      <c r="BZ45" s="74"/>
      <c r="CA45" s="64"/>
      <c r="CB45" s="64"/>
      <c r="CC45" s="64"/>
    </row>
    <row r="46" spans="1:81" ht="12" customHeight="1">
      <c r="A46" s="64"/>
      <c r="B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64"/>
      <c r="BT46" s="64"/>
      <c r="BU46" s="64"/>
      <c r="BV46" s="64"/>
      <c r="BW46" s="64"/>
      <c r="BX46" s="64"/>
      <c r="BY46" s="64"/>
      <c r="BZ46" s="74"/>
      <c r="CA46" s="64"/>
      <c r="CB46" s="64"/>
      <c r="CC46" s="64"/>
    </row>
    <row r="47" spans="1:81" ht="12" customHeight="1">
      <c r="A47" s="64"/>
      <c r="B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64"/>
      <c r="BT47" s="64"/>
      <c r="BU47" s="64"/>
      <c r="BV47" s="64"/>
      <c r="BW47" s="64"/>
      <c r="BX47" s="64"/>
      <c r="BY47" s="64"/>
      <c r="BZ47" s="74"/>
      <c r="CA47" s="64"/>
      <c r="CB47" s="64"/>
      <c r="CC47" s="64"/>
    </row>
    <row r="48" spans="1:81" ht="12" customHeight="1">
      <c r="A48" s="64"/>
      <c r="B48" s="64"/>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64"/>
      <c r="BT48" s="64"/>
      <c r="BU48" s="64"/>
      <c r="BV48" s="64"/>
      <c r="BW48" s="64"/>
      <c r="BX48" s="64"/>
      <c r="BY48" s="64"/>
      <c r="BZ48" s="74"/>
      <c r="CA48" s="64"/>
      <c r="CB48" s="64"/>
      <c r="CC48" s="64"/>
    </row>
    <row r="49" spans="1:98" ht="12" customHeight="1">
      <c r="A49" s="64"/>
      <c r="B49" s="64"/>
      <c r="E49" s="75"/>
      <c r="F49" s="75"/>
      <c r="G49" s="75"/>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64"/>
      <c r="BT49" s="64"/>
      <c r="BU49" s="64"/>
      <c r="BV49" s="64"/>
      <c r="BW49" s="64"/>
      <c r="BX49" s="64"/>
      <c r="BY49" s="64"/>
      <c r="BZ49" s="74"/>
      <c r="CA49" s="64"/>
      <c r="CB49" s="64"/>
      <c r="CC49" s="64"/>
    </row>
    <row r="50" spans="1:98" ht="12" customHeight="1">
      <c r="A50" s="64"/>
      <c r="B50" s="64"/>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64"/>
      <c r="BT50" s="64"/>
      <c r="BU50" s="64"/>
      <c r="BV50" s="64"/>
      <c r="BW50" s="64"/>
      <c r="BX50" s="64"/>
      <c r="BY50" s="64"/>
      <c r="BZ50" s="74"/>
      <c r="CA50" s="64"/>
      <c r="CB50" s="64"/>
      <c r="CC50" s="64"/>
    </row>
    <row r="51" spans="1:98" ht="12" customHeight="1">
      <c r="A51" s="64"/>
      <c r="B51" s="64"/>
      <c r="E51" s="78"/>
      <c r="F51" s="78"/>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64"/>
      <c r="BT51" s="64"/>
      <c r="BU51" s="64"/>
      <c r="BV51" s="64"/>
      <c r="BW51" s="64"/>
      <c r="BX51" s="64"/>
      <c r="BY51" s="64"/>
      <c r="BZ51" s="74"/>
      <c r="CA51" s="64"/>
      <c r="CB51" s="64"/>
      <c r="CC51" s="64"/>
    </row>
    <row r="52" spans="1:98" ht="12" customHeight="1">
      <c r="A52" s="64"/>
      <c r="B52" s="64"/>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64"/>
      <c r="BT52" s="64"/>
      <c r="BU52" s="64"/>
      <c r="BV52" s="64"/>
      <c r="BW52" s="64"/>
      <c r="BX52" s="64"/>
      <c r="BY52" s="64"/>
      <c r="BZ52" s="74"/>
      <c r="CA52" s="64"/>
      <c r="CB52" s="64"/>
      <c r="CC52" s="64"/>
    </row>
    <row r="53" spans="1:98" ht="12" customHeight="1">
      <c r="A53" s="64"/>
      <c r="B53" s="64"/>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64"/>
      <c r="BT53" s="64"/>
      <c r="BU53" s="64"/>
      <c r="BV53" s="64"/>
      <c r="BW53" s="64"/>
      <c r="BX53" s="64"/>
      <c r="BY53" s="64"/>
      <c r="BZ53" s="74"/>
      <c r="CA53" s="64"/>
      <c r="CB53" s="64"/>
      <c r="CC53" s="64"/>
    </row>
    <row r="54" spans="1:98" ht="12" customHeight="1">
      <c r="A54" s="64"/>
      <c r="B54" s="64"/>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64"/>
      <c r="BT54" s="64"/>
      <c r="BU54" s="64"/>
      <c r="BV54" s="64"/>
      <c r="BW54" s="64"/>
      <c r="BX54" s="64"/>
      <c r="BY54" s="64"/>
      <c r="BZ54" s="64"/>
      <c r="CA54" s="64"/>
      <c r="CB54" s="64"/>
      <c r="CC54" s="64"/>
      <c r="CE54" s="79"/>
      <c r="CF54" s="80">
        <v>38516</v>
      </c>
      <c r="CG54" s="80">
        <f t="shared" ref="CG54:CT54" si="1">CF54+7</f>
        <v>38523</v>
      </c>
      <c r="CH54" s="80">
        <f t="shared" si="1"/>
        <v>38530</v>
      </c>
      <c r="CI54" s="80">
        <f t="shared" si="1"/>
        <v>38537</v>
      </c>
      <c r="CJ54" s="80">
        <f t="shared" si="1"/>
        <v>38544</v>
      </c>
      <c r="CK54" s="80">
        <f t="shared" si="1"/>
        <v>38551</v>
      </c>
      <c r="CL54" s="80">
        <f t="shared" si="1"/>
        <v>38558</v>
      </c>
      <c r="CM54" s="80">
        <f t="shared" si="1"/>
        <v>38565</v>
      </c>
      <c r="CN54" s="80">
        <f t="shared" si="1"/>
        <v>38572</v>
      </c>
      <c r="CO54" s="80">
        <f t="shared" si="1"/>
        <v>38579</v>
      </c>
      <c r="CP54" s="80">
        <f t="shared" si="1"/>
        <v>38586</v>
      </c>
      <c r="CQ54" s="80">
        <f t="shared" si="1"/>
        <v>38593</v>
      </c>
      <c r="CR54" s="80">
        <f t="shared" si="1"/>
        <v>38600</v>
      </c>
      <c r="CS54" s="80">
        <f t="shared" si="1"/>
        <v>38607</v>
      </c>
      <c r="CT54" s="80">
        <f t="shared" si="1"/>
        <v>38614</v>
      </c>
    </row>
    <row r="55" spans="1:98" ht="12" customHeight="1">
      <c r="A55" s="64"/>
      <c r="B55" s="64"/>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64"/>
      <c r="BT55" s="64"/>
      <c r="BU55" s="64"/>
      <c r="BV55" s="64"/>
      <c r="BW55" s="64"/>
      <c r="BX55" s="64"/>
      <c r="BY55" s="64"/>
      <c r="BZ55" s="64"/>
      <c r="CA55" s="64"/>
      <c r="CB55" s="64"/>
      <c r="CC55" s="64"/>
      <c r="CE55" s="81" t="s">
        <v>77</v>
      </c>
      <c r="CF55" s="81">
        <v>300</v>
      </c>
      <c r="CG55" s="81">
        <v>300</v>
      </c>
      <c r="CH55" s="81">
        <v>280</v>
      </c>
      <c r="CI55" s="81">
        <v>265</v>
      </c>
      <c r="CJ55" s="81">
        <v>245</v>
      </c>
      <c r="CK55" s="81">
        <v>215</v>
      </c>
      <c r="CL55" s="81">
        <v>200</v>
      </c>
      <c r="CM55" s="81">
        <v>175</v>
      </c>
      <c r="CN55" s="81">
        <v>140</v>
      </c>
      <c r="CO55" s="81">
        <v>110</v>
      </c>
      <c r="CP55" s="81">
        <v>65</v>
      </c>
      <c r="CQ55" s="81">
        <v>35</v>
      </c>
      <c r="CR55" s="81">
        <v>10</v>
      </c>
      <c r="CS55" s="81">
        <v>0</v>
      </c>
      <c r="CT55" s="81">
        <v>0</v>
      </c>
    </row>
    <row r="56" spans="1:98" ht="12" customHeight="1">
      <c r="A56" s="64"/>
      <c r="B56" s="64"/>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64"/>
      <c r="BT56" s="64"/>
      <c r="BU56" s="64"/>
      <c r="BV56" s="64"/>
      <c r="BW56" s="64"/>
      <c r="BX56" s="64"/>
      <c r="BY56" s="64"/>
      <c r="BZ56" s="64"/>
      <c r="CA56" s="64"/>
      <c r="CB56" s="64"/>
      <c r="CC56" s="64"/>
      <c r="CE56" s="82" t="s">
        <v>78</v>
      </c>
      <c r="CF56" s="82">
        <v>300</v>
      </c>
      <c r="CG56" s="82">
        <v>300</v>
      </c>
      <c r="CH56" s="82">
        <v>294</v>
      </c>
      <c r="CI56" s="82">
        <v>288</v>
      </c>
      <c r="CJ56" s="82">
        <v>267</v>
      </c>
      <c r="CK56" s="82">
        <v>230</v>
      </c>
      <c r="CL56" s="82">
        <v>205</v>
      </c>
      <c r="CM56" s="82">
        <v>173</v>
      </c>
      <c r="CN56" s="82">
        <v>137</v>
      </c>
      <c r="CO56" s="82">
        <v>105</v>
      </c>
      <c r="CP56" s="82">
        <v>70</v>
      </c>
      <c r="CQ56" s="82">
        <v>36</v>
      </c>
      <c r="CR56" s="82">
        <v>12</v>
      </c>
      <c r="CS56" s="82">
        <v>12</v>
      </c>
      <c r="CT56" s="82">
        <v>12</v>
      </c>
    </row>
    <row r="57" spans="1:98" ht="12" customHeight="1">
      <c r="A57" s="64"/>
      <c r="B57" s="64"/>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64"/>
      <c r="BT57" s="64"/>
      <c r="BU57" s="64"/>
      <c r="BV57" s="64"/>
      <c r="BW57" s="64"/>
      <c r="BX57" s="64"/>
      <c r="BY57" s="64"/>
      <c r="BZ57" s="64"/>
      <c r="CA57" s="64"/>
      <c r="CB57" s="64"/>
      <c r="CC57" s="64"/>
      <c r="CE57" s="84" t="s">
        <v>240</v>
      </c>
      <c r="CF57" s="85">
        <f t="shared" ref="CF57:CT57" si="2">300 -CF55</f>
        <v>0</v>
      </c>
      <c r="CG57" s="85">
        <f t="shared" si="2"/>
        <v>0</v>
      </c>
      <c r="CH57" s="85">
        <f t="shared" si="2"/>
        <v>20</v>
      </c>
      <c r="CI57" s="85">
        <f t="shared" si="2"/>
        <v>35</v>
      </c>
      <c r="CJ57" s="85">
        <f t="shared" si="2"/>
        <v>55</v>
      </c>
      <c r="CK57" s="85">
        <f t="shared" si="2"/>
        <v>85</v>
      </c>
      <c r="CL57" s="85">
        <f t="shared" si="2"/>
        <v>100</v>
      </c>
      <c r="CM57" s="85">
        <f t="shared" si="2"/>
        <v>125</v>
      </c>
      <c r="CN57" s="85">
        <f t="shared" si="2"/>
        <v>160</v>
      </c>
      <c r="CO57" s="85">
        <f t="shared" si="2"/>
        <v>190</v>
      </c>
      <c r="CP57" s="85">
        <f t="shared" si="2"/>
        <v>235</v>
      </c>
      <c r="CQ57" s="85">
        <f t="shared" si="2"/>
        <v>265</v>
      </c>
      <c r="CR57" s="85">
        <f t="shared" si="2"/>
        <v>290</v>
      </c>
      <c r="CS57" s="85">
        <f t="shared" si="2"/>
        <v>300</v>
      </c>
      <c r="CT57" s="85">
        <f t="shared" si="2"/>
        <v>300</v>
      </c>
    </row>
    <row r="58" spans="1:98" ht="12" customHeight="1">
      <c r="A58" s="64"/>
      <c r="B58" s="64"/>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64"/>
      <c r="BT58" s="64"/>
      <c r="BU58" s="64"/>
      <c r="BV58" s="64"/>
      <c r="BW58" s="64"/>
      <c r="BX58" s="64"/>
      <c r="BY58" s="64"/>
      <c r="BZ58" s="64"/>
      <c r="CA58" s="64"/>
      <c r="CB58" s="64"/>
      <c r="CC58" s="64"/>
      <c r="CE58" s="83" t="s">
        <v>80</v>
      </c>
      <c r="CF58" s="83">
        <v>0</v>
      </c>
      <c r="CG58" s="83">
        <f t="shared" ref="CG58:CT58" si="3">CEILING(2.3*30*CG57/ 300, 1)</f>
        <v>0</v>
      </c>
      <c r="CH58" s="83">
        <f t="shared" si="3"/>
        <v>5</v>
      </c>
      <c r="CI58" s="83">
        <f t="shared" si="3"/>
        <v>9</v>
      </c>
      <c r="CJ58" s="83">
        <f t="shared" si="3"/>
        <v>13</v>
      </c>
      <c r="CK58" s="83">
        <f t="shared" si="3"/>
        <v>20</v>
      </c>
      <c r="CL58" s="83">
        <f t="shared" si="3"/>
        <v>23</v>
      </c>
      <c r="CM58" s="83">
        <f t="shared" si="3"/>
        <v>29</v>
      </c>
      <c r="CN58" s="83">
        <f t="shared" si="3"/>
        <v>37</v>
      </c>
      <c r="CO58" s="83">
        <f t="shared" si="3"/>
        <v>44</v>
      </c>
      <c r="CP58" s="83">
        <f t="shared" si="3"/>
        <v>55</v>
      </c>
      <c r="CQ58" s="83">
        <f t="shared" si="3"/>
        <v>61</v>
      </c>
      <c r="CR58" s="83">
        <f t="shared" si="3"/>
        <v>67</v>
      </c>
      <c r="CS58" s="83">
        <f t="shared" si="3"/>
        <v>69</v>
      </c>
      <c r="CT58" s="83">
        <f t="shared" si="3"/>
        <v>69</v>
      </c>
    </row>
    <row r="59" spans="1:98" ht="12" customHeight="1">
      <c r="A59" s="64"/>
      <c r="B59" s="64"/>
      <c r="C59" s="78"/>
      <c r="D59" s="78"/>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64"/>
      <c r="BT59" s="64"/>
      <c r="BU59" s="64"/>
      <c r="BV59" s="64"/>
      <c r="BW59" s="64"/>
      <c r="BX59" s="64"/>
      <c r="BY59" s="64"/>
      <c r="BZ59" s="64"/>
      <c r="CA59" s="64"/>
      <c r="CB59" s="64"/>
      <c r="CC59" s="64"/>
      <c r="CE59" s="83" t="s">
        <v>81</v>
      </c>
      <c r="CF59" s="83">
        <v>0</v>
      </c>
      <c r="CG59" s="83">
        <v>0</v>
      </c>
      <c r="CH59" s="83">
        <v>1</v>
      </c>
      <c r="CI59" s="83">
        <v>3</v>
      </c>
      <c r="CJ59" s="83">
        <v>5</v>
      </c>
      <c r="CK59" s="83">
        <v>7</v>
      </c>
      <c r="CL59" s="83">
        <v>22</v>
      </c>
      <c r="CM59" s="83">
        <v>38</v>
      </c>
      <c r="CN59" s="83">
        <v>45</v>
      </c>
      <c r="CO59" s="83">
        <v>46</v>
      </c>
      <c r="CP59" s="83">
        <v>52</v>
      </c>
      <c r="CQ59" s="83">
        <v>65</v>
      </c>
      <c r="CR59" s="83">
        <v>72</v>
      </c>
      <c r="CS59" s="83">
        <v>72</v>
      </c>
      <c r="CT59" s="83">
        <v>72</v>
      </c>
    </row>
    <row r="60" spans="1:98" ht="12" customHeight="1">
      <c r="A60" s="64"/>
      <c r="B60" s="64"/>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CC60" s="64"/>
      <c r="CE60" s="83" t="s">
        <v>82</v>
      </c>
      <c r="CF60" s="83">
        <v>0</v>
      </c>
      <c r="CG60" s="83">
        <v>0</v>
      </c>
      <c r="CH60" s="83">
        <v>0</v>
      </c>
      <c r="CI60" s="83">
        <v>2</v>
      </c>
      <c r="CJ60" s="83">
        <v>4</v>
      </c>
      <c r="CK60" s="83">
        <v>7</v>
      </c>
      <c r="CL60" s="83">
        <v>13</v>
      </c>
      <c r="CM60" s="83">
        <v>23</v>
      </c>
      <c r="CN60" s="83">
        <v>32</v>
      </c>
      <c r="CO60" s="83">
        <v>43</v>
      </c>
      <c r="CP60" s="83">
        <v>48</v>
      </c>
      <c r="CQ60" s="83">
        <v>58</v>
      </c>
      <c r="CR60" s="83">
        <v>70</v>
      </c>
      <c r="CS60" s="83">
        <v>70</v>
      </c>
      <c r="CT60" s="83">
        <v>70</v>
      </c>
    </row>
    <row r="61" spans="1:98" ht="12" customHeight="1">
      <c r="A61" s="64"/>
      <c r="B61" s="64"/>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CC61" s="64"/>
    </row>
    <row r="62" spans="1:98" ht="12" customHeight="1">
      <c r="A62" s="64"/>
      <c r="B62" s="64"/>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CC62" s="64"/>
    </row>
    <row r="63" spans="1:98" ht="12" customHeight="1">
      <c r="A63" s="64"/>
      <c r="B63" s="64"/>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CC63" s="64"/>
    </row>
    <row r="64" spans="1:98" ht="12" customHeight="1">
      <c r="A64" s="64"/>
      <c r="B64" s="64"/>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CC64" s="64"/>
    </row>
    <row r="65" spans="1:81" ht="12" customHeight="1">
      <c r="A65" s="64"/>
      <c r="B65" s="64"/>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CC65" s="64"/>
    </row>
    <row r="66" spans="1:81" ht="12" customHeight="1">
      <c r="A66" s="64"/>
      <c r="B66" s="64"/>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CC66" s="64"/>
    </row>
    <row r="67" spans="1:81" ht="12" customHeight="1">
      <c r="A67" s="64"/>
      <c r="B67" s="64"/>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CC67" s="64"/>
    </row>
    <row r="68" spans="1:81" ht="12" customHeight="1">
      <c r="A68" s="64"/>
      <c r="B68" s="64"/>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CC68" s="64"/>
    </row>
    <row r="69" spans="1:81" ht="12" customHeight="1">
      <c r="A69" s="64"/>
      <c r="B69" s="64"/>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CC69" s="64"/>
    </row>
    <row r="70" spans="1:81" ht="12" customHeight="1">
      <c r="A70" s="64"/>
      <c r="B70" s="64"/>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CC70" s="64"/>
    </row>
    <row r="71" spans="1:81" ht="12" customHeight="1">
      <c r="A71" s="64"/>
      <c r="B71" s="64"/>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CC71" s="64"/>
    </row>
    <row r="72" spans="1:81" ht="12" customHeight="1">
      <c r="A72" s="64"/>
      <c r="B72" s="64"/>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CC72" s="64"/>
    </row>
    <row r="73" spans="1:81" ht="12" customHeight="1">
      <c r="A73" s="64"/>
      <c r="B73" s="64"/>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64"/>
      <c r="BT73" s="64"/>
      <c r="BU73" s="64"/>
      <c r="BV73" s="64"/>
      <c r="BW73" s="64"/>
      <c r="BX73" s="64"/>
      <c r="BY73" s="64"/>
      <c r="BZ73" s="64"/>
      <c r="CA73" s="64"/>
      <c r="CB73" s="64"/>
      <c r="CC73" s="64"/>
    </row>
    <row r="74" spans="1:81" ht="12" customHeight="1">
      <c r="A74" s="64"/>
      <c r="B74" s="64"/>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64"/>
      <c r="BT74" s="64"/>
      <c r="BU74" s="64"/>
      <c r="BV74" s="64"/>
      <c r="BW74" s="64"/>
      <c r="BX74" s="64"/>
      <c r="BY74" s="64"/>
      <c r="BZ74" s="64"/>
      <c r="CA74" s="64"/>
      <c r="CB74" s="64"/>
      <c r="CC74" s="64"/>
    </row>
    <row r="75" spans="1:81" ht="12" customHeight="1">
      <c r="A75" s="64"/>
      <c r="B75" s="64"/>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64"/>
      <c r="BT75" s="64"/>
      <c r="BU75" s="64"/>
      <c r="BV75" s="64"/>
      <c r="BW75" s="64"/>
      <c r="BX75" s="64"/>
      <c r="BY75" s="64"/>
      <c r="BZ75" s="64"/>
      <c r="CA75" s="64"/>
      <c r="CB75" s="64"/>
      <c r="CC75" s="64"/>
    </row>
    <row r="76" spans="1:81" ht="12" customHeight="1">
      <c r="A76" s="64"/>
      <c r="B76" s="64"/>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64"/>
      <c r="BT76" s="64"/>
      <c r="BU76" s="64"/>
      <c r="BV76" s="64"/>
      <c r="BW76" s="64"/>
      <c r="BX76" s="64"/>
      <c r="BY76" s="64"/>
      <c r="BZ76" s="64"/>
      <c r="CA76" s="64"/>
      <c r="CB76" s="64"/>
      <c r="CC76" s="64"/>
    </row>
    <row r="77" spans="1:81" ht="12" customHeight="1">
      <c r="A77" s="64"/>
      <c r="B77" s="64"/>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64"/>
      <c r="BT77" s="64"/>
      <c r="BU77" s="64"/>
      <c r="BV77" s="64"/>
      <c r="BW77" s="64"/>
      <c r="BX77" s="64"/>
      <c r="BY77" s="64"/>
      <c r="BZ77" s="64"/>
      <c r="CA77" s="64"/>
      <c r="CB77" s="64"/>
      <c r="CC77" s="64"/>
    </row>
    <row r="78" spans="1:81" ht="12"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72"/>
      <c r="AX78" s="72"/>
      <c r="AY78" s="72"/>
      <c r="AZ78" s="64"/>
      <c r="BA78" s="64"/>
      <c r="BB78" s="64"/>
      <c r="BC78" s="64"/>
      <c r="BD78" s="64"/>
      <c r="BE78" s="64"/>
      <c r="BF78" s="64"/>
      <c r="BG78" s="64"/>
      <c r="BH78" s="64"/>
      <c r="BI78" s="64"/>
      <c r="BJ78" s="64"/>
      <c r="BK78" s="64"/>
      <c r="BL78" s="64"/>
      <c r="BM78" s="64"/>
      <c r="BN78" s="64"/>
      <c r="BO78" s="64"/>
      <c r="BP78" s="64"/>
      <c r="BQ78" s="64"/>
      <c r="BR78" s="64"/>
      <c r="BS78" s="64"/>
      <c r="BT78" s="64"/>
      <c r="BU78" s="64"/>
      <c r="BV78" s="64"/>
      <c r="BW78" s="64"/>
      <c r="BX78" s="64"/>
      <c r="BY78" s="64"/>
      <c r="BZ78" s="64"/>
      <c r="CA78" s="64"/>
      <c r="CB78" s="64"/>
      <c r="CC78" s="64"/>
    </row>
    <row r="79" spans="1:81" ht="12"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72"/>
      <c r="AX79" s="72"/>
      <c r="AY79" s="72"/>
      <c r="AZ79" s="64"/>
      <c r="BA79" s="64"/>
      <c r="BB79" s="64"/>
      <c r="BC79" s="64"/>
      <c r="BD79" s="64"/>
      <c r="BE79" s="64"/>
      <c r="BF79" s="64"/>
      <c r="BG79" s="64"/>
      <c r="BH79" s="64"/>
      <c r="BI79" s="64"/>
      <c r="BJ79" s="64"/>
      <c r="BK79" s="64"/>
      <c r="BL79" s="64"/>
      <c r="BM79" s="64"/>
      <c r="BN79" s="64"/>
      <c r="BO79" s="64"/>
      <c r="BP79" s="64"/>
      <c r="BQ79" s="64"/>
      <c r="BR79" s="64"/>
      <c r="BS79" s="64"/>
      <c r="BT79" s="64"/>
      <c r="BU79" s="64"/>
      <c r="BV79" s="64"/>
      <c r="BW79" s="64"/>
      <c r="BX79" s="64"/>
      <c r="BY79" s="64"/>
      <c r="BZ79" s="64"/>
      <c r="CA79" s="64"/>
      <c r="CB79" s="64"/>
      <c r="CC79" s="64"/>
    </row>
    <row r="80" spans="1:81" ht="12" customHeight="1">
      <c r="A80" s="64"/>
      <c r="B80" s="64"/>
      <c r="C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c r="AJ80" s="64"/>
      <c r="AK80" s="64"/>
      <c r="AL80" s="64"/>
      <c r="AM80" s="64"/>
      <c r="AN80" s="64"/>
      <c r="AO80" s="64"/>
      <c r="AP80" s="64"/>
      <c r="AQ80" s="64"/>
      <c r="AR80" s="64"/>
      <c r="AS80" s="64"/>
      <c r="AT80" s="64"/>
      <c r="AU80" s="64"/>
      <c r="AV80" s="64"/>
      <c r="AW80" s="72"/>
      <c r="AX80" s="72"/>
      <c r="AY80" s="72"/>
      <c r="AZ80" s="64"/>
      <c r="BA80" s="64"/>
      <c r="BB80" s="64"/>
      <c r="BC80" s="64"/>
      <c r="BD80" s="64"/>
      <c r="BE80" s="64"/>
      <c r="BF80" s="64"/>
      <c r="BG80" s="64"/>
      <c r="BH80" s="64"/>
      <c r="BI80" s="64"/>
      <c r="BJ80" s="64"/>
      <c r="BK80" s="64"/>
      <c r="BL80" s="64"/>
      <c r="BM80" s="64"/>
      <c r="BN80" s="64"/>
      <c r="BO80" s="64"/>
      <c r="BP80" s="64"/>
      <c r="BQ80" s="64"/>
      <c r="BR80" s="64"/>
      <c r="BS80" s="64"/>
      <c r="BT80" s="64"/>
      <c r="BU80" s="64"/>
      <c r="BV80" s="64"/>
      <c r="BW80" s="64"/>
      <c r="BX80" s="64"/>
      <c r="BY80" s="64"/>
      <c r="BZ80" s="64"/>
      <c r="CA80" s="64"/>
      <c r="CB80" s="64"/>
      <c r="CC80" s="64"/>
    </row>
    <row r="81" spans="1:81" ht="12" customHeight="1">
      <c r="A81" s="64"/>
      <c r="B81" s="64"/>
      <c r="C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c r="AJ81" s="64"/>
      <c r="AK81" s="64"/>
      <c r="AL81" s="64"/>
      <c r="AM81" s="64"/>
      <c r="AN81" s="64"/>
      <c r="AO81" s="64"/>
      <c r="AP81" s="64"/>
      <c r="AQ81" s="64"/>
      <c r="AR81" s="64"/>
      <c r="AS81" s="64"/>
      <c r="AT81" s="64"/>
      <c r="AU81" s="64"/>
      <c r="AV81" s="64"/>
      <c r="AW81" s="72"/>
      <c r="AX81" s="72"/>
      <c r="AY81" s="72"/>
      <c r="AZ81" s="64"/>
      <c r="BA81" s="64"/>
      <c r="BB81" s="64"/>
      <c r="BC81" s="64"/>
      <c r="BD81" s="64"/>
      <c r="BE81" s="64"/>
      <c r="BF81" s="64"/>
      <c r="BG81" s="64"/>
      <c r="BH81" s="64"/>
      <c r="BI81" s="64"/>
      <c r="BJ81" s="64"/>
      <c r="BK81" s="64"/>
      <c r="BL81" s="64"/>
      <c r="BM81" s="64"/>
      <c r="BN81" s="64"/>
      <c r="BO81" s="64"/>
      <c r="BP81" s="64"/>
      <c r="BQ81" s="64"/>
      <c r="BR81" s="64"/>
      <c r="BS81" s="64"/>
      <c r="BT81" s="64"/>
      <c r="BU81" s="64"/>
      <c r="BV81" s="64"/>
      <c r="BW81" s="64"/>
      <c r="BX81" s="64"/>
      <c r="BY81" s="64"/>
      <c r="BZ81" s="64"/>
      <c r="CA81" s="64"/>
      <c r="CB81" s="64"/>
      <c r="CC81" s="64"/>
    </row>
    <row r="84" spans="1:81" ht="12" customHeight="1">
      <c r="B84" s="77" t="s">
        <v>241</v>
      </c>
    </row>
    <row r="86" spans="1:81" ht="12" customHeight="1">
      <c r="C86" s="78" t="s">
        <v>242</v>
      </c>
    </row>
    <row r="87" spans="1:81" ht="12" customHeight="1" thickBot="1"/>
    <row r="88" spans="1:81" ht="12" customHeight="1" thickBot="1">
      <c r="O88" s="320" t="s">
        <v>243</v>
      </c>
      <c r="P88" s="321"/>
      <c r="Q88" s="321"/>
      <c r="R88" s="321"/>
      <c r="S88" s="321"/>
      <c r="T88" s="321"/>
      <c r="U88" s="321"/>
      <c r="V88" s="321"/>
      <c r="W88" s="321"/>
      <c r="X88" s="321"/>
      <c r="Y88" s="321"/>
      <c r="Z88" s="321"/>
      <c r="AA88" s="321"/>
      <c r="AB88" s="321"/>
      <c r="AC88" s="321"/>
      <c r="AD88" s="321"/>
      <c r="AE88" s="321"/>
      <c r="AF88" s="321"/>
      <c r="AG88" s="321"/>
      <c r="AH88" s="321"/>
      <c r="AI88" s="321"/>
      <c r="AJ88" s="321"/>
      <c r="AK88" s="321"/>
      <c r="AL88" s="321"/>
      <c r="AM88" s="321"/>
      <c r="AN88" s="321"/>
      <c r="AO88" s="321"/>
      <c r="AP88" s="321"/>
      <c r="AQ88" s="321"/>
      <c r="AR88" s="321"/>
      <c r="AS88" s="322"/>
    </row>
    <row r="89" spans="1:81" ht="12" customHeight="1" thickTop="1">
      <c r="F89" s="332" t="s">
        <v>244</v>
      </c>
      <c r="G89" s="333"/>
      <c r="H89" s="333"/>
      <c r="I89" s="333"/>
      <c r="J89" s="333"/>
      <c r="K89" s="333"/>
      <c r="L89" s="333"/>
      <c r="M89" s="333"/>
      <c r="N89" s="334"/>
      <c r="O89" s="86" t="s">
        <v>245</v>
      </c>
      <c r="P89" s="87"/>
      <c r="Z89" s="88"/>
      <c r="AA89" s="86"/>
      <c r="AG89" s="88"/>
      <c r="AH89" s="323" t="s">
        <v>246</v>
      </c>
      <c r="AI89" s="324"/>
      <c r="AJ89" s="324"/>
      <c r="AK89" s="324"/>
      <c r="AL89" s="324"/>
      <c r="AM89" s="324"/>
      <c r="AN89" s="324"/>
      <c r="AO89" s="324"/>
      <c r="AP89" s="324"/>
      <c r="AQ89" s="324"/>
      <c r="AR89" s="324"/>
      <c r="AS89" s="325"/>
    </row>
    <row r="90" spans="1:81" ht="12" customHeight="1">
      <c r="F90" s="335" t="s">
        <v>247</v>
      </c>
      <c r="G90" s="336"/>
      <c r="H90" s="336"/>
      <c r="I90" s="336"/>
      <c r="J90" s="336"/>
      <c r="K90" s="336"/>
      <c r="L90" s="336"/>
      <c r="M90" s="336"/>
      <c r="N90" s="337"/>
      <c r="O90" s="93"/>
      <c r="P90" s="94"/>
      <c r="Q90" s="95"/>
      <c r="R90" s="95"/>
      <c r="S90" s="95"/>
      <c r="T90" s="95"/>
      <c r="U90" s="95"/>
      <c r="V90" s="95"/>
      <c r="W90" s="95"/>
      <c r="X90" s="95"/>
      <c r="Y90" s="95"/>
      <c r="Z90" s="96"/>
      <c r="AA90" s="93" t="s">
        <v>248</v>
      </c>
      <c r="AB90" s="95"/>
      <c r="AC90" s="95"/>
      <c r="AD90" s="95"/>
      <c r="AE90" s="95"/>
      <c r="AF90" s="95"/>
      <c r="AG90" s="96"/>
      <c r="AH90" s="326" t="s">
        <v>249</v>
      </c>
      <c r="AI90" s="327"/>
      <c r="AJ90" s="327"/>
      <c r="AK90" s="327"/>
      <c r="AL90" s="327"/>
      <c r="AM90" s="327"/>
      <c r="AN90" s="327"/>
      <c r="AO90" s="327"/>
      <c r="AP90" s="327"/>
      <c r="AQ90" s="327"/>
      <c r="AR90" s="327"/>
      <c r="AS90" s="328"/>
    </row>
    <row r="91" spans="1:81" ht="12" customHeight="1" thickBot="1">
      <c r="F91" s="338"/>
      <c r="G91" s="339"/>
      <c r="H91" s="339"/>
      <c r="I91" s="339"/>
      <c r="J91" s="339"/>
      <c r="K91" s="339"/>
      <c r="L91" s="339"/>
      <c r="M91" s="339"/>
      <c r="N91" s="340"/>
      <c r="O91" s="97" t="s">
        <v>250</v>
      </c>
      <c r="P91" s="98"/>
      <c r="Q91" s="99"/>
      <c r="R91" s="99"/>
      <c r="S91" s="99"/>
      <c r="T91" s="99"/>
      <c r="U91" s="99"/>
      <c r="V91" s="99"/>
      <c r="W91" s="99"/>
      <c r="X91" s="99"/>
      <c r="Y91" s="99"/>
      <c r="Z91" s="100"/>
      <c r="AA91" s="102" t="s">
        <v>251</v>
      </c>
      <c r="AB91" s="99"/>
      <c r="AC91" s="99"/>
      <c r="AD91" s="99"/>
      <c r="AE91" s="99"/>
      <c r="AF91" s="99"/>
      <c r="AG91" s="100"/>
      <c r="AH91" s="317">
        <v>2</v>
      </c>
      <c r="AI91" s="318"/>
      <c r="AJ91" s="318"/>
      <c r="AK91" s="318"/>
      <c r="AL91" s="318"/>
      <c r="AM91" s="318"/>
      <c r="AN91" s="318"/>
      <c r="AO91" s="318"/>
      <c r="AP91" s="318"/>
      <c r="AQ91" s="318"/>
      <c r="AR91" s="318"/>
      <c r="AS91" s="319"/>
    </row>
    <row r="92" spans="1:81" ht="12" customHeight="1">
      <c r="F92" s="332" t="s">
        <v>252</v>
      </c>
      <c r="G92" s="333"/>
      <c r="H92" s="333"/>
      <c r="I92" s="333"/>
      <c r="J92" s="333"/>
      <c r="K92" s="333"/>
      <c r="L92" s="333"/>
      <c r="M92" s="333"/>
      <c r="N92" s="334"/>
      <c r="O92" s="86" t="s">
        <v>245</v>
      </c>
      <c r="P92" s="87"/>
      <c r="Z92" s="88"/>
      <c r="AA92" s="86"/>
      <c r="AG92" s="88"/>
      <c r="AH92" s="329" t="s">
        <v>246</v>
      </c>
      <c r="AI92" s="330"/>
      <c r="AJ92" s="330"/>
      <c r="AK92" s="330"/>
      <c r="AL92" s="330"/>
      <c r="AM92" s="330"/>
      <c r="AN92" s="330"/>
      <c r="AO92" s="330"/>
      <c r="AP92" s="330"/>
      <c r="AQ92" s="330"/>
      <c r="AR92" s="330"/>
      <c r="AS92" s="331"/>
    </row>
    <row r="93" spans="1:81" ht="12" customHeight="1">
      <c r="F93" s="335"/>
      <c r="G93" s="341"/>
      <c r="H93" s="341"/>
      <c r="I93" s="341"/>
      <c r="J93" s="341"/>
      <c r="K93" s="341"/>
      <c r="L93" s="341"/>
      <c r="M93" s="341"/>
      <c r="N93" s="342"/>
      <c r="O93" s="93"/>
      <c r="P93" s="94"/>
      <c r="Q93" s="95"/>
      <c r="R93" s="95"/>
      <c r="S93" s="95"/>
      <c r="T93" s="95"/>
      <c r="U93" s="95"/>
      <c r="V93" s="95"/>
      <c r="W93" s="95"/>
      <c r="X93" s="95"/>
      <c r="Y93" s="95"/>
      <c r="Z93" s="96"/>
      <c r="AA93" s="93" t="s">
        <v>253</v>
      </c>
      <c r="AB93" s="95"/>
      <c r="AC93" s="95"/>
      <c r="AD93" s="95"/>
      <c r="AE93" s="95"/>
      <c r="AF93" s="95"/>
      <c r="AG93" s="96"/>
      <c r="AH93" s="326" t="s">
        <v>254</v>
      </c>
      <c r="AI93" s="327"/>
      <c r="AJ93" s="327"/>
      <c r="AK93" s="327"/>
      <c r="AL93" s="327"/>
      <c r="AM93" s="327"/>
      <c r="AN93" s="327"/>
      <c r="AO93" s="327"/>
      <c r="AP93" s="327"/>
      <c r="AQ93" s="327"/>
      <c r="AR93" s="327"/>
      <c r="AS93" s="328"/>
    </row>
    <row r="94" spans="1:81" ht="12" customHeight="1" thickBot="1">
      <c r="F94" s="338"/>
      <c r="G94" s="343"/>
      <c r="H94" s="343"/>
      <c r="I94" s="343"/>
      <c r="J94" s="343"/>
      <c r="K94" s="343"/>
      <c r="L94" s="343"/>
      <c r="M94" s="343"/>
      <c r="N94" s="344"/>
      <c r="O94" s="97" t="s">
        <v>250</v>
      </c>
      <c r="P94" s="101"/>
      <c r="Q94" s="99"/>
      <c r="R94" s="99"/>
      <c r="S94" s="99"/>
      <c r="T94" s="99"/>
      <c r="U94" s="99"/>
      <c r="V94" s="99"/>
      <c r="W94" s="99"/>
      <c r="X94" s="99"/>
      <c r="Y94" s="99"/>
      <c r="Z94" s="100"/>
      <c r="AA94" s="97" t="s">
        <v>255</v>
      </c>
      <c r="AB94" s="99"/>
      <c r="AC94" s="99"/>
      <c r="AD94" s="99"/>
      <c r="AE94" s="99"/>
      <c r="AF94" s="99"/>
      <c r="AG94" s="100"/>
      <c r="AH94" s="317">
        <v>3</v>
      </c>
      <c r="AI94" s="318"/>
      <c r="AJ94" s="318"/>
      <c r="AK94" s="318"/>
      <c r="AL94" s="318"/>
      <c r="AM94" s="318"/>
      <c r="AN94" s="318"/>
      <c r="AO94" s="318"/>
      <c r="AP94" s="318"/>
      <c r="AQ94" s="318"/>
      <c r="AR94" s="318"/>
      <c r="AS94" s="319"/>
    </row>
    <row r="95" spans="1:81" ht="12" customHeight="1">
      <c r="F95" s="332" t="s">
        <v>256</v>
      </c>
      <c r="G95" s="333"/>
      <c r="H95" s="333"/>
      <c r="I95" s="333"/>
      <c r="J95" s="333"/>
      <c r="K95" s="333"/>
      <c r="L95" s="333"/>
      <c r="M95" s="333"/>
      <c r="N95" s="334"/>
      <c r="O95" s="86" t="s">
        <v>245</v>
      </c>
      <c r="P95" s="87"/>
      <c r="Z95" s="88"/>
      <c r="AA95" s="86"/>
      <c r="AG95" s="88"/>
      <c r="AH95" s="329" t="s">
        <v>246</v>
      </c>
      <c r="AI95" s="330"/>
      <c r="AJ95" s="330"/>
      <c r="AK95" s="330"/>
      <c r="AL95" s="330"/>
      <c r="AM95" s="330"/>
      <c r="AN95" s="330"/>
      <c r="AO95" s="330"/>
      <c r="AP95" s="330"/>
      <c r="AQ95" s="330"/>
      <c r="AR95" s="330"/>
      <c r="AS95" s="331"/>
    </row>
    <row r="96" spans="1:81" ht="12" customHeight="1">
      <c r="F96" s="335" t="s">
        <v>257</v>
      </c>
      <c r="G96" s="341"/>
      <c r="H96" s="341"/>
      <c r="I96" s="341"/>
      <c r="J96" s="341"/>
      <c r="K96" s="341"/>
      <c r="L96" s="341"/>
      <c r="M96" s="341"/>
      <c r="N96" s="342"/>
      <c r="O96" s="93"/>
      <c r="P96" s="94"/>
      <c r="Q96" s="95"/>
      <c r="R96" s="95"/>
      <c r="S96" s="95"/>
      <c r="T96" s="95"/>
      <c r="U96" s="95"/>
      <c r="V96" s="95"/>
      <c r="W96" s="95"/>
      <c r="X96" s="95"/>
      <c r="Y96" s="95"/>
      <c r="Z96" s="96"/>
      <c r="AA96" s="93" t="s">
        <v>253</v>
      </c>
      <c r="AB96" s="95"/>
      <c r="AC96" s="95"/>
      <c r="AD96" s="95"/>
      <c r="AE96" s="95"/>
      <c r="AF96" s="95"/>
      <c r="AG96" s="96"/>
      <c r="AH96" s="326" t="s">
        <v>249</v>
      </c>
      <c r="AI96" s="327"/>
      <c r="AJ96" s="327"/>
      <c r="AK96" s="327"/>
      <c r="AL96" s="327"/>
      <c r="AM96" s="327"/>
      <c r="AN96" s="327"/>
      <c r="AO96" s="327"/>
      <c r="AP96" s="327"/>
      <c r="AQ96" s="327"/>
      <c r="AR96" s="327"/>
      <c r="AS96" s="328"/>
    </row>
    <row r="97" spans="6:45" ht="12" customHeight="1" thickBot="1">
      <c r="F97" s="338"/>
      <c r="G97" s="343"/>
      <c r="H97" s="343"/>
      <c r="I97" s="343"/>
      <c r="J97" s="343"/>
      <c r="K97" s="343"/>
      <c r="L97" s="343"/>
      <c r="M97" s="343"/>
      <c r="N97" s="344"/>
      <c r="O97" s="97" t="s">
        <v>250</v>
      </c>
      <c r="P97" s="101"/>
      <c r="Q97" s="99"/>
      <c r="R97" s="99"/>
      <c r="S97" s="99"/>
      <c r="T97" s="99"/>
      <c r="U97" s="99"/>
      <c r="V97" s="99"/>
      <c r="W97" s="99"/>
      <c r="X97" s="99"/>
      <c r="Y97" s="99"/>
      <c r="Z97" s="100"/>
      <c r="AA97" s="97" t="s">
        <v>255</v>
      </c>
      <c r="AB97" s="99"/>
      <c r="AC97" s="99"/>
      <c r="AD97" s="99"/>
      <c r="AE97" s="99"/>
      <c r="AF97" s="99"/>
      <c r="AG97" s="100"/>
      <c r="AH97" s="317">
        <v>1.2</v>
      </c>
      <c r="AI97" s="318"/>
      <c r="AJ97" s="318"/>
      <c r="AK97" s="318"/>
      <c r="AL97" s="318"/>
      <c r="AM97" s="318"/>
      <c r="AN97" s="318"/>
      <c r="AO97" s="318"/>
      <c r="AP97" s="318"/>
      <c r="AQ97" s="318"/>
      <c r="AR97" s="318"/>
      <c r="AS97" s="319"/>
    </row>
    <row r="98" spans="6:45" ht="12" customHeight="1">
      <c r="F98" s="332" t="s">
        <v>256</v>
      </c>
      <c r="G98" s="333"/>
      <c r="H98" s="333"/>
      <c r="I98" s="333"/>
      <c r="J98" s="333"/>
      <c r="K98" s="333"/>
      <c r="L98" s="333"/>
      <c r="M98" s="333"/>
      <c r="N98" s="334"/>
      <c r="O98" s="86" t="s">
        <v>245</v>
      </c>
      <c r="P98" s="87"/>
      <c r="Z98" s="88"/>
      <c r="AA98" s="86"/>
      <c r="AG98" s="88"/>
      <c r="AH98" s="329" t="s">
        <v>246</v>
      </c>
      <c r="AI98" s="330"/>
      <c r="AJ98" s="330"/>
      <c r="AK98" s="330"/>
      <c r="AL98" s="330"/>
      <c r="AM98" s="330"/>
      <c r="AN98" s="330"/>
      <c r="AO98" s="330"/>
      <c r="AP98" s="330"/>
      <c r="AQ98" s="330"/>
      <c r="AR98" s="330"/>
      <c r="AS98" s="331"/>
    </row>
    <row r="99" spans="6:45" ht="12" customHeight="1">
      <c r="F99" s="335" t="s">
        <v>258</v>
      </c>
      <c r="G99" s="341"/>
      <c r="H99" s="341"/>
      <c r="I99" s="341"/>
      <c r="J99" s="341"/>
      <c r="K99" s="341"/>
      <c r="L99" s="341"/>
      <c r="M99" s="341"/>
      <c r="N99" s="342"/>
      <c r="O99" s="93"/>
      <c r="P99" s="94"/>
      <c r="Q99" s="95"/>
      <c r="R99" s="95"/>
      <c r="S99" s="95"/>
      <c r="T99" s="95"/>
      <c r="U99" s="95"/>
      <c r="V99" s="95"/>
      <c r="W99" s="95"/>
      <c r="X99" s="95"/>
      <c r="Y99" s="95"/>
      <c r="Z99" s="96"/>
      <c r="AA99" s="93" t="s">
        <v>253</v>
      </c>
      <c r="AB99" s="95"/>
      <c r="AC99" s="95"/>
      <c r="AD99" s="95"/>
      <c r="AE99" s="95"/>
      <c r="AF99" s="95"/>
      <c r="AG99" s="96"/>
      <c r="AH99" s="326" t="s">
        <v>254</v>
      </c>
      <c r="AI99" s="327"/>
      <c r="AJ99" s="327"/>
      <c r="AK99" s="327"/>
      <c r="AL99" s="327"/>
      <c r="AM99" s="327"/>
      <c r="AN99" s="327"/>
      <c r="AO99" s="327"/>
      <c r="AP99" s="327"/>
      <c r="AQ99" s="327"/>
      <c r="AR99" s="327"/>
      <c r="AS99" s="328"/>
    </row>
    <row r="100" spans="6:45" ht="12" customHeight="1" thickBot="1">
      <c r="F100" s="338"/>
      <c r="G100" s="343"/>
      <c r="H100" s="343"/>
      <c r="I100" s="343"/>
      <c r="J100" s="343"/>
      <c r="K100" s="343"/>
      <c r="L100" s="343"/>
      <c r="M100" s="343"/>
      <c r="N100" s="344"/>
      <c r="O100" s="89" t="s">
        <v>250</v>
      </c>
      <c r="P100" s="90"/>
      <c r="Q100" s="91"/>
      <c r="R100" s="91"/>
      <c r="S100" s="91"/>
      <c r="T100" s="91"/>
      <c r="U100" s="91"/>
      <c r="V100" s="91"/>
      <c r="W100" s="91"/>
      <c r="X100" s="91"/>
      <c r="Y100" s="91"/>
      <c r="Z100" s="92"/>
      <c r="AA100" s="89" t="s">
        <v>255</v>
      </c>
      <c r="AB100" s="91"/>
      <c r="AC100" s="91"/>
      <c r="AD100" s="91"/>
      <c r="AE100" s="91"/>
      <c r="AF100" s="91"/>
      <c r="AG100" s="92"/>
      <c r="AH100" s="317">
        <v>2.4</v>
      </c>
      <c r="AI100" s="318"/>
      <c r="AJ100" s="318"/>
      <c r="AK100" s="318"/>
      <c r="AL100" s="318"/>
      <c r="AM100" s="318"/>
      <c r="AN100" s="318"/>
      <c r="AO100" s="318"/>
      <c r="AP100" s="318"/>
      <c r="AQ100" s="318"/>
      <c r="AR100" s="318"/>
      <c r="AS100" s="319"/>
    </row>
  </sheetData>
  <mergeCells count="25">
    <mergeCell ref="F100:N100"/>
    <mergeCell ref="F93:N93"/>
    <mergeCell ref="F94:N94"/>
    <mergeCell ref="F95:N95"/>
    <mergeCell ref="F96:N96"/>
    <mergeCell ref="F97:N97"/>
    <mergeCell ref="F98:N98"/>
    <mergeCell ref="F89:N89"/>
    <mergeCell ref="F90:N90"/>
    <mergeCell ref="F91:N91"/>
    <mergeCell ref="F92:N92"/>
    <mergeCell ref="F99:N99"/>
    <mergeCell ref="AH100:AS100"/>
    <mergeCell ref="O88:AS88"/>
    <mergeCell ref="AH89:AS89"/>
    <mergeCell ref="AH90:AS90"/>
    <mergeCell ref="AH91:AS91"/>
    <mergeCell ref="AH92:AS92"/>
    <mergeCell ref="AH93:AS93"/>
    <mergeCell ref="AH94:AS94"/>
    <mergeCell ref="AH95:AS95"/>
    <mergeCell ref="AH96:AS96"/>
    <mergeCell ref="AH97:AS97"/>
    <mergeCell ref="AH98:AS98"/>
    <mergeCell ref="AH99:AS99"/>
  </mergeCells>
  <phoneticPr fontId="10"/>
  <pageMargins left="0.59055118110236227" right="0.59055118110236227" top="0.27559055118110237" bottom="0.19685039370078741" header="0.86614173228346458" footer="0.19685039370078741"/>
  <pageSetup paperSize="9" fitToHeight="0" orientation="landscape" r:id="rId1"/>
  <headerFooter alignWithMargins="0">
    <oddHeader>&amp;L&amp;"Calibri"&amp;13&amp;K000000 •• PROTECTED&amp;1#_x000D_</oddHeader>
  </headerFooter>
  <rowBreaks count="2" manualBreakCount="2">
    <brk id="46" max="78" man="1"/>
    <brk id="81" max="78"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AH74"/>
  <sheetViews>
    <sheetView showGridLines="0" topLeftCell="A29" zoomScaleNormal="100" workbookViewId="0"/>
  </sheetViews>
  <sheetFormatPr defaultColWidth="10.265625" defaultRowHeight="12.95" customHeight="1"/>
  <cols>
    <col min="1" max="1" width="2.73046875" style="1" customWidth="1"/>
    <col min="2" max="2" width="18" style="1" customWidth="1"/>
    <col min="3" max="15" width="5.73046875" style="1" customWidth="1"/>
    <col min="16" max="16" width="6.59765625" style="1" customWidth="1"/>
    <col min="17" max="36" width="5.73046875" style="1" customWidth="1"/>
    <col min="37" max="16384" width="10.265625" style="1"/>
  </cols>
  <sheetData>
    <row r="1" spans="2:34" s="2" customFormat="1" ht="12.95" customHeight="1">
      <c r="P1" s="15"/>
    </row>
    <row r="2" spans="2:34" s="2" customFormat="1" ht="11.25" customHeight="1"/>
    <row r="3" spans="2:34" s="2" customFormat="1" ht="9.75" customHeight="1"/>
    <row r="4" spans="2:34" s="2" customFormat="1" ht="7.5" customHeight="1"/>
    <row r="5" spans="2:34" s="2" customFormat="1" ht="12.95" customHeight="1">
      <c r="B5" s="31" t="s">
        <v>259</v>
      </c>
    </row>
    <row r="6" spans="2:34" s="2" customFormat="1" ht="12.95" customHeight="1" thickBot="1"/>
    <row r="7" spans="2:34" s="19" customFormat="1" ht="15" customHeight="1" thickBot="1">
      <c r="B7" s="20"/>
      <c r="C7" s="200">
        <v>38718</v>
      </c>
      <c r="D7" s="201"/>
      <c r="E7" s="201">
        <f>C7+31</f>
        <v>38749</v>
      </c>
      <c r="F7" s="201"/>
      <c r="G7" s="201">
        <f>E7+31</f>
        <v>38780</v>
      </c>
      <c r="H7" s="201"/>
      <c r="I7" s="201">
        <f>G7+31</f>
        <v>38811</v>
      </c>
      <c r="J7" s="201"/>
      <c r="K7" s="201">
        <f>I7+31</f>
        <v>38842</v>
      </c>
      <c r="L7" s="201"/>
      <c r="M7" s="201">
        <f>K7+31</f>
        <v>38873</v>
      </c>
      <c r="N7" s="201"/>
      <c r="O7" s="201">
        <f>M7+31</f>
        <v>38904</v>
      </c>
      <c r="P7" s="201"/>
      <c r="Q7" s="201">
        <f>O7+31</f>
        <v>38935</v>
      </c>
      <c r="R7" s="201"/>
      <c r="S7" s="201">
        <f>Q7+31</f>
        <v>38966</v>
      </c>
      <c r="T7" s="201"/>
      <c r="U7" s="201">
        <f>S7+31</f>
        <v>38997</v>
      </c>
      <c r="V7" s="201"/>
      <c r="W7" s="201">
        <f>U7+31</f>
        <v>39028</v>
      </c>
      <c r="X7" s="201"/>
      <c r="Y7" s="201">
        <f>W7+31</f>
        <v>39059</v>
      </c>
      <c r="Z7" s="201"/>
      <c r="AA7" s="201">
        <f>Y7+31</f>
        <v>39090</v>
      </c>
      <c r="AB7" s="262"/>
    </row>
    <row r="8" spans="2:34" s="2" customFormat="1" ht="12.95" customHeight="1">
      <c r="B8" s="21"/>
      <c r="D8" s="22"/>
      <c r="E8" s="23"/>
      <c r="F8" s="24"/>
      <c r="G8" s="24"/>
      <c r="H8" s="24"/>
      <c r="I8" s="24"/>
      <c r="J8" s="24"/>
      <c r="K8" s="24"/>
      <c r="L8" s="22"/>
      <c r="N8" s="22"/>
      <c r="O8" s="23"/>
      <c r="P8" s="24"/>
      <c r="Q8" s="24"/>
      <c r="R8" s="24"/>
      <c r="S8" s="24"/>
      <c r="T8" s="24"/>
      <c r="U8" s="24"/>
      <c r="V8" s="24"/>
      <c r="W8" s="24"/>
      <c r="X8" s="24"/>
      <c r="Y8" s="24"/>
      <c r="Z8" s="24"/>
      <c r="AA8" s="24"/>
      <c r="AB8" s="32"/>
    </row>
    <row r="9" spans="2:34" s="2" customFormat="1" ht="12.95" customHeight="1">
      <c r="B9" s="25" t="s">
        <v>260</v>
      </c>
      <c r="D9" s="24"/>
      <c r="E9" s="23"/>
      <c r="F9" s="24"/>
      <c r="G9" s="24"/>
      <c r="H9" s="24"/>
      <c r="I9" s="24"/>
      <c r="J9" s="24"/>
      <c r="K9" s="24"/>
      <c r="L9" s="24"/>
      <c r="N9" s="24"/>
      <c r="O9" s="23"/>
      <c r="P9" s="24"/>
      <c r="Q9" s="24"/>
      <c r="R9" s="24"/>
      <c r="S9" s="24"/>
      <c r="T9" s="24"/>
      <c r="U9" s="24"/>
      <c r="V9" s="24"/>
      <c r="W9" s="24"/>
      <c r="X9" s="24"/>
      <c r="Y9" s="24"/>
      <c r="Z9" s="24"/>
      <c r="AA9" s="24"/>
      <c r="AB9" s="32"/>
    </row>
    <row r="10" spans="2:34" s="2" customFormat="1" ht="12.95" customHeight="1">
      <c r="B10" s="26"/>
      <c r="D10" s="24"/>
      <c r="E10" s="23"/>
      <c r="F10" s="24"/>
      <c r="G10" s="24"/>
      <c r="H10" s="24"/>
      <c r="I10" s="24"/>
      <c r="J10" s="24"/>
      <c r="K10" s="24"/>
      <c r="L10" s="24"/>
      <c r="N10" s="24"/>
      <c r="O10" s="23"/>
      <c r="P10" s="24"/>
      <c r="Q10" s="24"/>
      <c r="R10" s="24"/>
      <c r="S10" s="24"/>
      <c r="T10" s="24"/>
      <c r="U10" s="24"/>
      <c r="V10" s="24"/>
      <c r="W10" s="24"/>
      <c r="X10" s="24"/>
      <c r="Y10" s="24"/>
      <c r="Z10" s="24"/>
      <c r="AA10" s="24"/>
      <c r="AB10" s="32"/>
    </row>
    <row r="11" spans="2:34" s="2" customFormat="1" ht="12.95" customHeight="1">
      <c r="B11" s="26"/>
      <c r="D11" s="24"/>
      <c r="E11" s="23"/>
      <c r="F11" s="24"/>
      <c r="G11" s="24"/>
      <c r="H11" s="24"/>
      <c r="I11" s="24"/>
      <c r="J11" s="24"/>
      <c r="K11" s="24"/>
      <c r="L11" s="24"/>
      <c r="N11" s="24"/>
      <c r="O11" s="23"/>
      <c r="P11" s="24"/>
      <c r="Q11" s="24"/>
      <c r="R11" s="24"/>
      <c r="S11" s="24"/>
      <c r="T11" s="24"/>
      <c r="U11" s="24"/>
      <c r="V11" s="24"/>
      <c r="W11" s="24"/>
      <c r="X11" s="24"/>
      <c r="Y11" s="24"/>
      <c r="Z11" s="24"/>
      <c r="AA11" s="24"/>
      <c r="AB11" s="32"/>
    </row>
    <row r="12" spans="2:34" s="2" customFormat="1" ht="12.95" customHeight="1" thickBot="1">
      <c r="B12" s="27"/>
      <c r="C12" s="28"/>
      <c r="D12" s="29"/>
      <c r="E12" s="30"/>
      <c r="F12" s="29"/>
      <c r="G12" s="29"/>
      <c r="H12" s="29"/>
      <c r="I12" s="29"/>
      <c r="J12" s="29"/>
      <c r="K12" s="29"/>
      <c r="L12" s="29"/>
      <c r="M12" s="28"/>
      <c r="N12" s="29"/>
      <c r="O12" s="30"/>
      <c r="P12" s="29"/>
      <c r="Q12" s="29"/>
      <c r="R12" s="29"/>
      <c r="S12" s="29"/>
      <c r="T12" s="29"/>
      <c r="U12" s="29"/>
      <c r="V12" s="29"/>
      <c r="W12" s="29"/>
      <c r="X12" s="29"/>
      <c r="Y12" s="29"/>
      <c r="Z12" s="29"/>
      <c r="AA12" s="29"/>
      <c r="AB12" s="33"/>
    </row>
    <row r="13" spans="2:34" s="2" customFormat="1" ht="6.75" customHeight="1"/>
    <row r="14" spans="2:34" s="2" customFormat="1" ht="15.75" customHeight="1"/>
    <row r="15" spans="2:34" s="7" customFormat="1" ht="12.95" customHeight="1">
      <c r="B15" s="142" t="s">
        <v>2</v>
      </c>
      <c r="C15" s="8">
        <v>38516</v>
      </c>
      <c r="D15" s="8">
        <f t="shared" ref="D15:AF15" si="0">C15+7</f>
        <v>38523</v>
      </c>
      <c r="E15" s="8">
        <f t="shared" si="0"/>
        <v>38530</v>
      </c>
      <c r="F15" s="8">
        <f t="shared" si="0"/>
        <v>38537</v>
      </c>
      <c r="G15" s="8">
        <f t="shared" si="0"/>
        <v>38544</v>
      </c>
      <c r="H15" s="8">
        <f t="shared" si="0"/>
        <v>38551</v>
      </c>
      <c r="I15" s="8">
        <f t="shared" si="0"/>
        <v>38558</v>
      </c>
      <c r="J15" s="8">
        <f t="shared" si="0"/>
        <v>38565</v>
      </c>
      <c r="K15" s="8">
        <f t="shared" si="0"/>
        <v>38572</v>
      </c>
      <c r="L15" s="8">
        <f t="shared" si="0"/>
        <v>38579</v>
      </c>
      <c r="M15" s="8">
        <f t="shared" si="0"/>
        <v>38586</v>
      </c>
      <c r="N15" s="8">
        <f t="shared" si="0"/>
        <v>38593</v>
      </c>
      <c r="O15" s="8">
        <f t="shared" si="0"/>
        <v>38600</v>
      </c>
      <c r="P15" s="8">
        <f t="shared" si="0"/>
        <v>38607</v>
      </c>
      <c r="Q15" s="8">
        <f t="shared" si="0"/>
        <v>38614</v>
      </c>
      <c r="R15" s="8">
        <f t="shared" si="0"/>
        <v>38621</v>
      </c>
      <c r="S15" s="8">
        <f t="shared" si="0"/>
        <v>38628</v>
      </c>
      <c r="T15" s="8">
        <f t="shared" si="0"/>
        <v>38635</v>
      </c>
      <c r="U15" s="8">
        <f t="shared" si="0"/>
        <v>38642</v>
      </c>
      <c r="V15" s="8">
        <f t="shared" si="0"/>
        <v>38649</v>
      </c>
      <c r="W15" s="8">
        <f t="shared" si="0"/>
        <v>38656</v>
      </c>
      <c r="X15" s="8">
        <f t="shared" si="0"/>
        <v>38663</v>
      </c>
      <c r="Y15" s="8">
        <f t="shared" si="0"/>
        <v>38670</v>
      </c>
      <c r="Z15" s="8">
        <f t="shared" si="0"/>
        <v>38677</v>
      </c>
      <c r="AA15" s="8">
        <f t="shared" si="0"/>
        <v>38684</v>
      </c>
      <c r="AB15" s="8">
        <f t="shared" si="0"/>
        <v>38691</v>
      </c>
      <c r="AC15" s="8">
        <f t="shared" si="0"/>
        <v>38698</v>
      </c>
      <c r="AD15" s="8">
        <f t="shared" si="0"/>
        <v>38705</v>
      </c>
      <c r="AE15" s="8">
        <f t="shared" si="0"/>
        <v>38712</v>
      </c>
      <c r="AF15" s="8">
        <f t="shared" si="0"/>
        <v>38719</v>
      </c>
    </row>
    <row r="16" spans="2:34" s="7" customFormat="1" ht="12.95" customHeight="1">
      <c r="C16" s="9"/>
      <c r="D16" s="9"/>
      <c r="E16" s="9"/>
      <c r="F16" s="9"/>
      <c r="G16" s="9"/>
      <c r="H16" s="9"/>
      <c r="I16" s="9"/>
      <c r="J16" s="9"/>
      <c r="K16" s="9"/>
      <c r="L16" s="9"/>
      <c r="M16" s="9"/>
      <c r="N16" s="9"/>
      <c r="O16" s="9"/>
      <c r="P16" s="9"/>
      <c r="Q16" s="9"/>
      <c r="R16" s="9"/>
      <c r="S16" s="9"/>
      <c r="T16" s="9"/>
      <c r="U16" s="9"/>
      <c r="V16" s="9"/>
      <c r="Z16" s="9"/>
      <c r="AA16" s="9"/>
      <c r="AB16" s="9"/>
      <c r="AC16" s="9"/>
      <c r="AD16" s="9"/>
      <c r="AE16" s="9"/>
      <c r="AF16" s="9"/>
      <c r="AG16" s="9"/>
      <c r="AH16" s="9"/>
    </row>
    <row r="17" spans="2:34" s="7" customFormat="1" ht="12.95" customHeight="1">
      <c r="C17" s="9"/>
      <c r="D17" s="9"/>
      <c r="E17" s="9"/>
      <c r="F17" s="9"/>
      <c r="G17" s="9"/>
      <c r="H17" s="9"/>
      <c r="I17" s="9"/>
      <c r="J17" s="9"/>
      <c r="K17" s="9"/>
      <c r="L17" s="9"/>
      <c r="M17" s="9"/>
      <c r="N17" s="9"/>
      <c r="O17" s="9"/>
      <c r="P17" s="9"/>
      <c r="Q17" s="9"/>
      <c r="R17" s="9"/>
      <c r="S17" s="9"/>
      <c r="T17" s="9"/>
      <c r="U17" s="9"/>
      <c r="V17" s="9"/>
      <c r="Z17" s="9"/>
      <c r="AA17" s="9"/>
      <c r="AB17" s="9"/>
      <c r="AC17" s="9"/>
      <c r="AD17" s="9"/>
      <c r="AE17" s="9"/>
      <c r="AF17" s="9"/>
      <c r="AG17" s="9"/>
      <c r="AH17" s="9"/>
    </row>
    <row r="18" spans="2:34" s="7" customFormat="1" ht="12.95" customHeight="1">
      <c r="C18" s="9"/>
      <c r="D18" s="9"/>
      <c r="E18" s="9"/>
      <c r="F18" s="9"/>
      <c r="G18" s="9"/>
      <c r="H18" s="9"/>
      <c r="I18" s="9"/>
      <c r="J18" s="9"/>
      <c r="K18" s="9"/>
      <c r="L18" s="9"/>
      <c r="M18" s="9"/>
      <c r="N18" s="9"/>
      <c r="O18" s="9"/>
      <c r="P18" s="9"/>
      <c r="Q18" s="9"/>
      <c r="R18" s="9"/>
      <c r="S18" s="9"/>
      <c r="T18" s="9"/>
      <c r="U18" s="9"/>
      <c r="V18" s="9"/>
      <c r="Z18" s="9"/>
      <c r="AA18" s="9"/>
      <c r="AB18" s="9"/>
      <c r="AC18" s="9"/>
      <c r="AD18" s="9"/>
    </row>
    <row r="19" spans="2:34" s="7" customFormat="1" ht="12.95" customHeight="1">
      <c r="C19" s="9"/>
      <c r="D19" s="9"/>
      <c r="E19" s="9"/>
      <c r="F19" s="9"/>
      <c r="G19" s="9"/>
      <c r="H19" s="9"/>
      <c r="I19" s="9"/>
      <c r="J19" s="9"/>
      <c r="K19" s="9"/>
      <c r="L19" s="9"/>
      <c r="M19" s="9"/>
      <c r="N19" s="9"/>
      <c r="O19" s="9"/>
      <c r="P19" s="9"/>
      <c r="Q19" s="9"/>
      <c r="R19" s="9"/>
      <c r="S19" s="9"/>
      <c r="T19" s="9"/>
      <c r="U19" s="9"/>
      <c r="V19" s="9"/>
      <c r="Z19" s="9"/>
      <c r="AA19" s="9"/>
      <c r="AB19" s="9"/>
      <c r="AC19" s="9"/>
      <c r="AD19" s="9"/>
    </row>
    <row r="20" spans="2:34" s="7" customFormat="1" ht="12.95" customHeight="1">
      <c r="C20" s="9"/>
      <c r="D20" s="9"/>
      <c r="E20" s="9"/>
      <c r="F20" s="9"/>
      <c r="G20" s="9"/>
      <c r="H20" s="9"/>
      <c r="I20" s="9"/>
      <c r="J20" s="9"/>
      <c r="K20" s="9"/>
      <c r="L20" s="9"/>
      <c r="M20" s="9"/>
      <c r="N20" s="9"/>
      <c r="O20" s="9"/>
      <c r="P20" s="9"/>
      <c r="Q20" s="9"/>
      <c r="R20" s="9"/>
      <c r="S20" s="9"/>
      <c r="T20" s="9"/>
      <c r="U20" s="9"/>
      <c r="V20" s="9"/>
      <c r="Z20" s="9"/>
      <c r="AA20" s="9"/>
      <c r="AB20" s="9"/>
      <c r="AC20" s="9"/>
      <c r="AD20" s="9"/>
    </row>
    <row r="21" spans="2:34" s="7" customFormat="1" ht="12.95" customHeight="1">
      <c r="C21" s="9"/>
      <c r="D21" s="9"/>
      <c r="E21" s="9"/>
      <c r="F21" s="9"/>
      <c r="G21" s="9"/>
      <c r="H21" s="9"/>
      <c r="I21" s="9"/>
      <c r="J21" s="9"/>
      <c r="K21" s="9"/>
      <c r="L21" s="9"/>
      <c r="M21" s="9"/>
      <c r="N21" s="9"/>
      <c r="O21" s="9"/>
      <c r="P21" s="9"/>
      <c r="Q21" s="9"/>
      <c r="R21" s="9"/>
      <c r="S21" s="9"/>
      <c r="T21" s="9"/>
      <c r="U21" s="9"/>
      <c r="V21" s="9"/>
      <c r="Z21" s="9"/>
      <c r="AA21" s="9"/>
      <c r="AB21" s="9"/>
    </row>
    <row r="22" spans="2:34" s="7" customFormat="1" ht="12.95" customHeight="1">
      <c r="C22" s="9"/>
      <c r="D22" s="9"/>
      <c r="E22" s="9"/>
      <c r="F22" s="9"/>
      <c r="G22" s="9"/>
      <c r="H22" s="9"/>
      <c r="I22" s="9"/>
      <c r="J22" s="9"/>
      <c r="K22" s="9"/>
      <c r="L22" s="9"/>
      <c r="M22" s="9"/>
      <c r="N22" s="9"/>
      <c r="O22" s="9"/>
      <c r="P22" s="9"/>
      <c r="Q22" s="9"/>
      <c r="R22" s="9"/>
      <c r="S22" s="9"/>
      <c r="T22" s="9"/>
      <c r="U22" s="9"/>
      <c r="V22" s="9"/>
      <c r="Z22" s="9"/>
      <c r="AA22" s="9"/>
      <c r="AB22" s="9"/>
    </row>
    <row r="23" spans="2:34" s="7" customFormat="1" ht="12.95" customHeight="1">
      <c r="B23" s="10" t="s">
        <v>3</v>
      </c>
      <c r="C23" s="10">
        <v>0</v>
      </c>
      <c r="D23" s="11">
        <v>0</v>
      </c>
      <c r="E23" s="11">
        <v>0</v>
      </c>
      <c r="F23" s="11">
        <v>0</v>
      </c>
      <c r="G23" s="11">
        <v>0</v>
      </c>
      <c r="H23" s="11">
        <v>0</v>
      </c>
      <c r="I23" s="11">
        <v>9</v>
      </c>
      <c r="J23" s="11">
        <v>24</v>
      </c>
      <c r="K23" s="11">
        <v>18</v>
      </c>
      <c r="L23" s="11">
        <v>21</v>
      </c>
      <c r="M23" s="11">
        <v>18</v>
      </c>
      <c r="N23" s="11">
        <v>24</v>
      </c>
      <c r="O23" s="11">
        <v>21</v>
      </c>
      <c r="P23" s="11">
        <v>24</v>
      </c>
      <c r="Q23" s="11">
        <v>21</v>
      </c>
      <c r="R23" s="11">
        <v>12</v>
      </c>
      <c r="S23" s="11">
        <v>15</v>
      </c>
      <c r="T23" s="11">
        <v>12</v>
      </c>
      <c r="U23" s="11">
        <v>0</v>
      </c>
      <c r="V23" s="11">
        <v>0</v>
      </c>
      <c r="W23" s="11">
        <v>0</v>
      </c>
      <c r="X23" s="11">
        <v>0</v>
      </c>
      <c r="Y23" s="11">
        <v>0</v>
      </c>
      <c r="Z23" s="11">
        <v>0</v>
      </c>
      <c r="AA23" s="11">
        <v>0</v>
      </c>
      <c r="AB23" s="11">
        <v>0</v>
      </c>
      <c r="AC23" s="11">
        <v>0</v>
      </c>
      <c r="AD23" s="11">
        <v>0</v>
      </c>
      <c r="AE23" s="11">
        <v>0</v>
      </c>
      <c r="AF23" s="11">
        <v>0</v>
      </c>
    </row>
    <row r="24" spans="2:34" s="7" customFormat="1" ht="12.95" customHeight="1">
      <c r="B24" s="10" t="s">
        <v>4</v>
      </c>
      <c r="C24" s="10">
        <v>0</v>
      </c>
      <c r="D24" s="11">
        <v>0</v>
      </c>
      <c r="E24" s="11">
        <v>0</v>
      </c>
      <c r="F24" s="11">
        <v>0</v>
      </c>
      <c r="G24" s="11">
        <v>0</v>
      </c>
      <c r="H24" s="11">
        <v>0</v>
      </c>
      <c r="I24" s="11">
        <v>9</v>
      </c>
      <c r="J24" s="11">
        <v>24</v>
      </c>
      <c r="K24" s="11">
        <v>18</v>
      </c>
      <c r="L24" s="11">
        <v>24</v>
      </c>
      <c r="M24" s="11">
        <v>24</v>
      </c>
      <c r="N24" s="11">
        <v>15</v>
      </c>
      <c r="O24" s="11">
        <v>21</v>
      </c>
      <c r="P24" s="11">
        <v>27</v>
      </c>
      <c r="Q24" s="11">
        <v>24</v>
      </c>
      <c r="R24" s="11">
        <v>11</v>
      </c>
      <c r="S24" s="11">
        <v>8</v>
      </c>
      <c r="T24" s="11">
        <v>0</v>
      </c>
      <c r="U24" s="11">
        <v>0</v>
      </c>
      <c r="V24" s="11">
        <v>0</v>
      </c>
      <c r="W24" s="11">
        <v>0</v>
      </c>
      <c r="X24" s="11">
        <v>0</v>
      </c>
      <c r="Y24" s="11">
        <v>0</v>
      </c>
      <c r="Z24" s="11">
        <v>0</v>
      </c>
      <c r="AA24" s="11">
        <v>0</v>
      </c>
      <c r="AB24" s="11">
        <v>0</v>
      </c>
      <c r="AC24" s="11">
        <v>0</v>
      </c>
      <c r="AD24" s="11">
        <v>0</v>
      </c>
      <c r="AE24" s="11">
        <v>0</v>
      </c>
      <c r="AF24" s="11">
        <v>0</v>
      </c>
    </row>
    <row r="25" spans="2:34" s="7" customFormat="1" ht="12.95" customHeight="1">
      <c r="B25" s="10" t="s">
        <v>5</v>
      </c>
      <c r="C25" s="10">
        <f t="shared" ref="C25:AF25" si="1">C24-C23</f>
        <v>0</v>
      </c>
      <c r="D25" s="10">
        <f t="shared" si="1"/>
        <v>0</v>
      </c>
      <c r="E25" s="10">
        <f t="shared" si="1"/>
        <v>0</v>
      </c>
      <c r="F25" s="10">
        <f t="shared" si="1"/>
        <v>0</v>
      </c>
      <c r="G25" s="10">
        <f t="shared" si="1"/>
        <v>0</v>
      </c>
      <c r="H25" s="10">
        <f t="shared" si="1"/>
        <v>0</v>
      </c>
      <c r="I25" s="10">
        <f t="shared" si="1"/>
        <v>0</v>
      </c>
      <c r="J25" s="10">
        <f t="shared" si="1"/>
        <v>0</v>
      </c>
      <c r="K25" s="10">
        <f t="shared" si="1"/>
        <v>0</v>
      </c>
      <c r="L25" s="10">
        <f t="shared" si="1"/>
        <v>3</v>
      </c>
      <c r="M25" s="10">
        <f t="shared" si="1"/>
        <v>6</v>
      </c>
      <c r="N25" s="10">
        <f t="shared" si="1"/>
        <v>-9</v>
      </c>
      <c r="O25" s="10">
        <f t="shared" si="1"/>
        <v>0</v>
      </c>
      <c r="P25" s="10">
        <f t="shared" si="1"/>
        <v>3</v>
      </c>
      <c r="Q25" s="10">
        <f t="shared" si="1"/>
        <v>3</v>
      </c>
      <c r="R25" s="10">
        <f t="shared" si="1"/>
        <v>-1</v>
      </c>
      <c r="S25" s="10">
        <f t="shared" si="1"/>
        <v>-7</v>
      </c>
      <c r="T25" s="10">
        <f t="shared" si="1"/>
        <v>-12</v>
      </c>
      <c r="U25" s="10">
        <f t="shared" si="1"/>
        <v>0</v>
      </c>
      <c r="V25" s="10">
        <f t="shared" si="1"/>
        <v>0</v>
      </c>
      <c r="W25" s="10">
        <f t="shared" si="1"/>
        <v>0</v>
      </c>
      <c r="X25" s="10">
        <f t="shared" si="1"/>
        <v>0</v>
      </c>
      <c r="Y25" s="10">
        <f t="shared" si="1"/>
        <v>0</v>
      </c>
      <c r="Z25" s="10">
        <f t="shared" si="1"/>
        <v>0</v>
      </c>
      <c r="AA25" s="10">
        <f t="shared" si="1"/>
        <v>0</v>
      </c>
      <c r="AB25" s="10">
        <f t="shared" si="1"/>
        <v>0</v>
      </c>
      <c r="AC25" s="10">
        <f t="shared" si="1"/>
        <v>0</v>
      </c>
      <c r="AD25" s="10">
        <f t="shared" si="1"/>
        <v>0</v>
      </c>
      <c r="AE25" s="10">
        <f t="shared" si="1"/>
        <v>0</v>
      </c>
      <c r="AF25" s="10">
        <f t="shared" si="1"/>
        <v>0</v>
      </c>
    </row>
    <row r="26" spans="2:34" s="7" customFormat="1" ht="12.95" customHeight="1">
      <c r="B26" s="12" t="s">
        <v>6</v>
      </c>
      <c r="C26" s="12">
        <f>C23</f>
        <v>0</v>
      </c>
      <c r="D26" s="12">
        <f t="shared" ref="D26:AF26" si="2">C26+D23</f>
        <v>0</v>
      </c>
      <c r="E26" s="12">
        <f t="shared" si="2"/>
        <v>0</v>
      </c>
      <c r="F26" s="12">
        <f t="shared" si="2"/>
        <v>0</v>
      </c>
      <c r="G26" s="12">
        <f t="shared" si="2"/>
        <v>0</v>
      </c>
      <c r="H26" s="12">
        <f t="shared" si="2"/>
        <v>0</v>
      </c>
      <c r="I26" s="12">
        <f t="shared" si="2"/>
        <v>9</v>
      </c>
      <c r="J26" s="12">
        <f t="shared" si="2"/>
        <v>33</v>
      </c>
      <c r="K26" s="12">
        <f t="shared" si="2"/>
        <v>51</v>
      </c>
      <c r="L26" s="12">
        <f t="shared" si="2"/>
        <v>72</v>
      </c>
      <c r="M26" s="12">
        <f t="shared" si="2"/>
        <v>90</v>
      </c>
      <c r="N26" s="12">
        <f t="shared" si="2"/>
        <v>114</v>
      </c>
      <c r="O26" s="12">
        <f t="shared" si="2"/>
        <v>135</v>
      </c>
      <c r="P26" s="12">
        <f t="shared" si="2"/>
        <v>159</v>
      </c>
      <c r="Q26" s="12">
        <f t="shared" si="2"/>
        <v>180</v>
      </c>
      <c r="R26" s="12">
        <f t="shared" si="2"/>
        <v>192</v>
      </c>
      <c r="S26" s="12">
        <f t="shared" si="2"/>
        <v>207</v>
      </c>
      <c r="T26" s="12">
        <f t="shared" si="2"/>
        <v>219</v>
      </c>
      <c r="U26" s="12">
        <f t="shared" si="2"/>
        <v>219</v>
      </c>
      <c r="V26" s="12">
        <f t="shared" si="2"/>
        <v>219</v>
      </c>
      <c r="W26" s="12">
        <f t="shared" si="2"/>
        <v>219</v>
      </c>
      <c r="X26" s="12">
        <f t="shared" si="2"/>
        <v>219</v>
      </c>
      <c r="Y26" s="12">
        <f t="shared" si="2"/>
        <v>219</v>
      </c>
      <c r="Z26" s="12">
        <f t="shared" si="2"/>
        <v>219</v>
      </c>
      <c r="AA26" s="12">
        <f t="shared" si="2"/>
        <v>219</v>
      </c>
      <c r="AB26" s="12">
        <f t="shared" si="2"/>
        <v>219</v>
      </c>
      <c r="AC26" s="12">
        <f t="shared" si="2"/>
        <v>219</v>
      </c>
      <c r="AD26" s="12">
        <f t="shared" si="2"/>
        <v>219</v>
      </c>
      <c r="AE26" s="12">
        <f t="shared" si="2"/>
        <v>219</v>
      </c>
      <c r="AF26" s="12">
        <f t="shared" si="2"/>
        <v>219</v>
      </c>
    </row>
    <row r="27" spans="2:34" s="7" customFormat="1" ht="12.95" customHeight="1">
      <c r="B27" s="12" t="s">
        <v>7</v>
      </c>
      <c r="C27" s="12">
        <f>C24</f>
        <v>0</v>
      </c>
      <c r="D27" s="12">
        <f t="shared" ref="D27:AF27" si="3">C27+D24</f>
        <v>0</v>
      </c>
      <c r="E27" s="12">
        <f t="shared" si="3"/>
        <v>0</v>
      </c>
      <c r="F27" s="12">
        <f t="shared" si="3"/>
        <v>0</v>
      </c>
      <c r="G27" s="12">
        <f t="shared" si="3"/>
        <v>0</v>
      </c>
      <c r="H27" s="12">
        <f t="shared" si="3"/>
        <v>0</v>
      </c>
      <c r="I27" s="12">
        <f t="shared" si="3"/>
        <v>9</v>
      </c>
      <c r="J27" s="12">
        <f t="shared" si="3"/>
        <v>33</v>
      </c>
      <c r="K27" s="12">
        <f t="shared" si="3"/>
        <v>51</v>
      </c>
      <c r="L27" s="12">
        <f t="shared" si="3"/>
        <v>75</v>
      </c>
      <c r="M27" s="12">
        <f t="shared" si="3"/>
        <v>99</v>
      </c>
      <c r="N27" s="12">
        <f t="shared" si="3"/>
        <v>114</v>
      </c>
      <c r="O27" s="12">
        <f t="shared" si="3"/>
        <v>135</v>
      </c>
      <c r="P27" s="12">
        <f t="shared" si="3"/>
        <v>162</v>
      </c>
      <c r="Q27" s="12">
        <f t="shared" si="3"/>
        <v>186</v>
      </c>
      <c r="R27" s="12">
        <f t="shared" si="3"/>
        <v>197</v>
      </c>
      <c r="S27" s="12">
        <f t="shared" si="3"/>
        <v>205</v>
      </c>
      <c r="T27" s="12">
        <f t="shared" si="3"/>
        <v>205</v>
      </c>
      <c r="U27" s="12">
        <f t="shared" si="3"/>
        <v>205</v>
      </c>
      <c r="V27" s="12">
        <f t="shared" si="3"/>
        <v>205</v>
      </c>
      <c r="W27" s="12">
        <f t="shared" si="3"/>
        <v>205</v>
      </c>
      <c r="X27" s="12">
        <f t="shared" si="3"/>
        <v>205</v>
      </c>
      <c r="Y27" s="12">
        <f t="shared" si="3"/>
        <v>205</v>
      </c>
      <c r="Z27" s="12">
        <f t="shared" si="3"/>
        <v>205</v>
      </c>
      <c r="AA27" s="12">
        <f t="shared" si="3"/>
        <v>205</v>
      </c>
      <c r="AB27" s="12">
        <f t="shared" si="3"/>
        <v>205</v>
      </c>
      <c r="AC27" s="12">
        <f t="shared" si="3"/>
        <v>205</v>
      </c>
      <c r="AD27" s="12">
        <f t="shared" si="3"/>
        <v>205</v>
      </c>
      <c r="AE27" s="12">
        <f t="shared" si="3"/>
        <v>205</v>
      </c>
      <c r="AF27" s="12">
        <f t="shared" si="3"/>
        <v>205</v>
      </c>
    </row>
    <row r="28" spans="2:34" s="7" customFormat="1" ht="12.95" customHeight="1">
      <c r="B28" s="11" t="s">
        <v>8</v>
      </c>
      <c r="C28" s="11">
        <f t="shared" ref="C28:AF28" si="4">C27-C26</f>
        <v>0</v>
      </c>
      <c r="D28" s="11">
        <f t="shared" si="4"/>
        <v>0</v>
      </c>
      <c r="E28" s="11">
        <f t="shared" si="4"/>
        <v>0</v>
      </c>
      <c r="F28" s="11">
        <f t="shared" si="4"/>
        <v>0</v>
      </c>
      <c r="G28" s="11">
        <f t="shared" si="4"/>
        <v>0</v>
      </c>
      <c r="H28" s="11">
        <f t="shared" si="4"/>
        <v>0</v>
      </c>
      <c r="I28" s="11">
        <f t="shared" si="4"/>
        <v>0</v>
      </c>
      <c r="J28" s="11">
        <f t="shared" si="4"/>
        <v>0</v>
      </c>
      <c r="K28" s="11">
        <f t="shared" si="4"/>
        <v>0</v>
      </c>
      <c r="L28" s="11">
        <f t="shared" si="4"/>
        <v>3</v>
      </c>
      <c r="M28" s="11">
        <f t="shared" si="4"/>
        <v>9</v>
      </c>
      <c r="N28" s="11">
        <f t="shared" si="4"/>
        <v>0</v>
      </c>
      <c r="O28" s="11">
        <f t="shared" si="4"/>
        <v>0</v>
      </c>
      <c r="P28" s="11">
        <f t="shared" si="4"/>
        <v>3</v>
      </c>
      <c r="Q28" s="11">
        <f t="shared" si="4"/>
        <v>6</v>
      </c>
      <c r="R28" s="11">
        <f t="shared" si="4"/>
        <v>5</v>
      </c>
      <c r="S28" s="11">
        <f t="shared" si="4"/>
        <v>-2</v>
      </c>
      <c r="T28" s="11">
        <f t="shared" si="4"/>
        <v>-14</v>
      </c>
      <c r="U28" s="11">
        <f t="shared" si="4"/>
        <v>-14</v>
      </c>
      <c r="V28" s="11">
        <f t="shared" si="4"/>
        <v>-14</v>
      </c>
      <c r="W28" s="11">
        <f t="shared" si="4"/>
        <v>-14</v>
      </c>
      <c r="X28" s="11">
        <f t="shared" si="4"/>
        <v>-14</v>
      </c>
      <c r="Y28" s="11">
        <f t="shared" si="4"/>
        <v>-14</v>
      </c>
      <c r="Z28" s="11">
        <f t="shared" si="4"/>
        <v>-14</v>
      </c>
      <c r="AA28" s="11">
        <f t="shared" si="4"/>
        <v>-14</v>
      </c>
      <c r="AB28" s="11">
        <f t="shared" si="4"/>
        <v>-14</v>
      </c>
      <c r="AC28" s="11">
        <f t="shared" si="4"/>
        <v>-14</v>
      </c>
      <c r="AD28" s="11">
        <f t="shared" si="4"/>
        <v>-14</v>
      </c>
      <c r="AE28" s="11">
        <f t="shared" si="4"/>
        <v>-14</v>
      </c>
      <c r="AF28" s="11">
        <f t="shared" si="4"/>
        <v>-14</v>
      </c>
    </row>
    <row r="29" spans="2:34" s="7" customFormat="1" ht="14.25" customHeight="1"/>
    <row r="30" spans="2:34" s="7" customFormat="1" ht="12.95" customHeight="1">
      <c r="C30" s="8">
        <f>C15</f>
        <v>38516</v>
      </c>
      <c r="D30" s="8">
        <f>C30+7</f>
        <v>38523</v>
      </c>
      <c r="E30" s="8">
        <f t="shared" ref="E30:AF30" si="5">D30+7</f>
        <v>38530</v>
      </c>
      <c r="F30" s="8">
        <f t="shared" si="5"/>
        <v>38537</v>
      </c>
      <c r="G30" s="8">
        <f t="shared" si="5"/>
        <v>38544</v>
      </c>
      <c r="H30" s="8">
        <f t="shared" si="5"/>
        <v>38551</v>
      </c>
      <c r="I30" s="8">
        <f t="shared" si="5"/>
        <v>38558</v>
      </c>
      <c r="J30" s="8">
        <f t="shared" si="5"/>
        <v>38565</v>
      </c>
      <c r="K30" s="8">
        <f t="shared" si="5"/>
        <v>38572</v>
      </c>
      <c r="L30" s="8">
        <f t="shared" si="5"/>
        <v>38579</v>
      </c>
      <c r="M30" s="8">
        <f t="shared" si="5"/>
        <v>38586</v>
      </c>
      <c r="N30" s="8">
        <f t="shared" si="5"/>
        <v>38593</v>
      </c>
      <c r="O30" s="8">
        <f t="shared" si="5"/>
        <v>38600</v>
      </c>
      <c r="P30" s="8">
        <f t="shared" si="5"/>
        <v>38607</v>
      </c>
      <c r="Q30" s="8">
        <f t="shared" si="5"/>
        <v>38614</v>
      </c>
      <c r="R30" s="8">
        <f t="shared" si="5"/>
        <v>38621</v>
      </c>
      <c r="S30" s="8">
        <f t="shared" si="5"/>
        <v>38628</v>
      </c>
      <c r="T30" s="8">
        <f t="shared" si="5"/>
        <v>38635</v>
      </c>
      <c r="U30" s="8">
        <f t="shared" si="5"/>
        <v>38642</v>
      </c>
      <c r="V30" s="8">
        <f t="shared" si="5"/>
        <v>38649</v>
      </c>
      <c r="W30" s="8">
        <f t="shared" si="5"/>
        <v>38656</v>
      </c>
      <c r="X30" s="8">
        <f t="shared" si="5"/>
        <v>38663</v>
      </c>
      <c r="Y30" s="8">
        <f t="shared" si="5"/>
        <v>38670</v>
      </c>
      <c r="Z30" s="8">
        <f t="shared" si="5"/>
        <v>38677</v>
      </c>
      <c r="AA30" s="8">
        <f t="shared" si="5"/>
        <v>38684</v>
      </c>
      <c r="AB30" s="8">
        <f t="shared" si="5"/>
        <v>38691</v>
      </c>
      <c r="AC30" s="8">
        <f t="shared" si="5"/>
        <v>38698</v>
      </c>
      <c r="AD30" s="8">
        <f t="shared" si="5"/>
        <v>38705</v>
      </c>
      <c r="AE30" s="8">
        <f t="shared" si="5"/>
        <v>38712</v>
      </c>
      <c r="AF30" s="8">
        <f t="shared" si="5"/>
        <v>38719</v>
      </c>
    </row>
    <row r="31" spans="2:34" s="7" customFormat="1" ht="12.95" customHeight="1">
      <c r="C31" s="9"/>
      <c r="D31" s="9"/>
      <c r="E31" s="9"/>
      <c r="F31" s="9"/>
      <c r="G31" s="9"/>
      <c r="H31" s="9"/>
      <c r="I31" s="9"/>
      <c r="J31" s="9"/>
      <c r="K31" s="9"/>
      <c r="L31" s="9"/>
      <c r="M31" s="9"/>
      <c r="N31" s="9"/>
      <c r="O31" s="9"/>
      <c r="P31" s="9"/>
      <c r="Q31" s="9"/>
      <c r="R31" s="9"/>
      <c r="S31" s="9"/>
      <c r="T31" s="9"/>
      <c r="U31" s="9"/>
      <c r="V31" s="9"/>
      <c r="Z31" s="9"/>
      <c r="AA31" s="9"/>
      <c r="AB31" s="9"/>
      <c r="AC31" s="9"/>
      <c r="AD31" s="9"/>
      <c r="AE31" s="9"/>
      <c r="AF31" s="9"/>
      <c r="AG31" s="9"/>
      <c r="AH31" s="9"/>
    </row>
    <row r="32" spans="2:34" s="7" customFormat="1" ht="12.95" customHeight="1">
      <c r="C32" s="9"/>
      <c r="D32" s="9"/>
      <c r="E32" s="9"/>
      <c r="F32" s="9"/>
      <c r="G32" s="9"/>
      <c r="H32" s="9"/>
      <c r="I32" s="9"/>
      <c r="J32" s="9"/>
      <c r="K32" s="9"/>
      <c r="L32" s="9"/>
      <c r="M32" s="9"/>
      <c r="N32" s="9"/>
      <c r="O32" s="9"/>
      <c r="P32" s="9"/>
      <c r="Q32" s="9"/>
      <c r="R32" s="9"/>
      <c r="S32" s="9"/>
      <c r="T32" s="9"/>
      <c r="U32" s="9"/>
      <c r="V32" s="9"/>
      <c r="Z32" s="9"/>
      <c r="AA32" s="9"/>
      <c r="AB32" s="9"/>
      <c r="AC32" s="9"/>
      <c r="AD32" s="9"/>
      <c r="AE32" s="9"/>
      <c r="AF32" s="9"/>
      <c r="AG32" s="9"/>
      <c r="AH32" s="9"/>
    </row>
    <row r="33" spans="2:32" s="7" customFormat="1" ht="12.95" customHeight="1">
      <c r="C33" s="9"/>
      <c r="D33" s="9"/>
      <c r="E33" s="9"/>
      <c r="F33" s="9"/>
      <c r="G33" s="9"/>
      <c r="H33" s="9"/>
      <c r="I33" s="9"/>
      <c r="J33" s="9"/>
      <c r="K33" s="9"/>
      <c r="L33" s="9"/>
      <c r="M33" s="9"/>
      <c r="N33" s="9"/>
      <c r="O33" s="9"/>
      <c r="P33" s="9"/>
      <c r="Q33" s="9"/>
      <c r="R33" s="9"/>
      <c r="S33" s="9"/>
      <c r="T33" s="9"/>
      <c r="U33" s="9"/>
      <c r="V33" s="9"/>
      <c r="Z33" s="9"/>
      <c r="AA33" s="9"/>
      <c r="AB33" s="9"/>
      <c r="AC33" s="9"/>
      <c r="AD33" s="9"/>
    </row>
    <row r="34" spans="2:32" s="7" customFormat="1" ht="12.95" customHeight="1">
      <c r="C34" s="9"/>
      <c r="D34" s="9"/>
      <c r="E34" s="9"/>
      <c r="F34" s="9"/>
      <c r="G34" s="9"/>
      <c r="H34" s="9"/>
      <c r="I34" s="9"/>
      <c r="J34" s="9"/>
      <c r="K34" s="9"/>
      <c r="L34" s="9"/>
      <c r="M34" s="9"/>
      <c r="N34" s="9"/>
      <c r="O34" s="9"/>
      <c r="P34" s="9"/>
      <c r="Q34" s="9"/>
      <c r="R34" s="9"/>
      <c r="S34" s="9"/>
      <c r="T34" s="9"/>
      <c r="U34" s="9"/>
      <c r="V34" s="9"/>
      <c r="Z34" s="9"/>
      <c r="AA34" s="9"/>
      <c r="AB34" s="9"/>
      <c r="AC34" s="9"/>
      <c r="AD34" s="9"/>
    </row>
    <row r="35" spans="2:32" s="7" customFormat="1" ht="12.95" customHeight="1">
      <c r="C35" s="9"/>
      <c r="D35" s="9"/>
      <c r="E35" s="9"/>
      <c r="F35" s="9"/>
      <c r="G35" s="9"/>
      <c r="H35" s="9"/>
      <c r="I35" s="9"/>
      <c r="J35" s="9"/>
      <c r="K35" s="9"/>
      <c r="L35" s="9"/>
      <c r="M35" s="9"/>
      <c r="N35" s="9"/>
      <c r="O35" s="9"/>
      <c r="P35" s="9"/>
      <c r="Q35" s="9"/>
      <c r="R35" s="9"/>
      <c r="S35" s="9"/>
      <c r="T35" s="9"/>
      <c r="U35" s="9"/>
      <c r="V35" s="9"/>
      <c r="Z35" s="9"/>
      <c r="AA35" s="9"/>
      <c r="AB35" s="9"/>
      <c r="AC35" s="9"/>
      <c r="AD35" s="9"/>
    </row>
    <row r="36" spans="2:32" s="7" customFormat="1" ht="12.95" customHeight="1">
      <c r="C36" s="9"/>
      <c r="D36" s="9"/>
      <c r="E36" s="9"/>
      <c r="F36" s="9"/>
      <c r="G36" s="9"/>
      <c r="H36" s="9"/>
      <c r="I36" s="9"/>
      <c r="J36" s="9"/>
      <c r="K36" s="9"/>
      <c r="L36" s="9"/>
      <c r="M36" s="9"/>
      <c r="N36" s="9"/>
      <c r="O36" s="9"/>
      <c r="P36" s="9"/>
      <c r="Q36" s="9"/>
      <c r="R36" s="9"/>
      <c r="S36" s="9"/>
      <c r="T36" s="9"/>
      <c r="U36" s="9"/>
      <c r="V36" s="9"/>
      <c r="Z36" s="9"/>
      <c r="AA36" s="9"/>
      <c r="AB36" s="9"/>
    </row>
    <row r="37" spans="2:32" s="7" customFormat="1" ht="12.95" customHeight="1">
      <c r="C37" s="9"/>
      <c r="D37" s="9"/>
      <c r="E37" s="9"/>
      <c r="F37" s="9"/>
      <c r="G37" s="9"/>
      <c r="H37" s="9"/>
      <c r="I37" s="9"/>
      <c r="J37" s="9"/>
      <c r="K37" s="9"/>
      <c r="L37" s="9"/>
      <c r="M37" s="9"/>
      <c r="N37" s="9"/>
      <c r="O37" s="9"/>
      <c r="P37" s="9"/>
      <c r="Q37" s="9"/>
      <c r="R37" s="9"/>
      <c r="S37" s="9"/>
      <c r="T37" s="9"/>
      <c r="U37" s="9"/>
      <c r="V37" s="9"/>
      <c r="Z37" s="9"/>
      <c r="AA37" s="9"/>
      <c r="AB37" s="9"/>
    </row>
    <row r="38" spans="2:32" s="7" customFormat="1" ht="12.95" customHeight="1">
      <c r="B38" s="10" t="s">
        <v>9</v>
      </c>
      <c r="C38" s="10">
        <v>0</v>
      </c>
      <c r="D38" s="11">
        <v>0</v>
      </c>
      <c r="E38" s="11">
        <v>0</v>
      </c>
      <c r="F38" s="11">
        <v>0</v>
      </c>
      <c r="G38" s="11">
        <v>0</v>
      </c>
      <c r="H38" s="11">
        <v>0</v>
      </c>
      <c r="I38" s="11">
        <v>16</v>
      </c>
      <c r="J38" s="11">
        <v>25</v>
      </c>
      <c r="K38" s="11">
        <v>30</v>
      </c>
      <c r="L38" s="11">
        <v>130</v>
      </c>
      <c r="M38" s="11">
        <v>125</v>
      </c>
      <c r="N38" s="11">
        <v>160</v>
      </c>
      <c r="O38" s="11">
        <v>250</v>
      </c>
      <c r="P38" s="11">
        <v>120</v>
      </c>
      <c r="Q38" s="11">
        <v>120</v>
      </c>
      <c r="R38" s="11">
        <v>180</v>
      </c>
      <c r="S38" s="11">
        <v>110</v>
      </c>
      <c r="T38" s="11">
        <v>150</v>
      </c>
      <c r="U38" s="11"/>
      <c r="V38" s="11"/>
      <c r="W38" s="11"/>
      <c r="X38" s="11"/>
      <c r="Y38" s="11"/>
      <c r="Z38" s="11"/>
      <c r="AA38" s="11"/>
      <c r="AB38" s="11"/>
      <c r="AC38" s="11"/>
      <c r="AD38" s="11"/>
      <c r="AE38" s="11"/>
      <c r="AF38" s="11"/>
    </row>
    <row r="39" spans="2:32" s="7" customFormat="1" ht="12.95" customHeight="1">
      <c r="B39" s="10" t="s">
        <v>10</v>
      </c>
      <c r="C39" s="10">
        <v>0</v>
      </c>
      <c r="D39" s="11">
        <v>0</v>
      </c>
      <c r="E39" s="11">
        <v>0</v>
      </c>
      <c r="F39" s="11">
        <v>0</v>
      </c>
      <c r="G39" s="11">
        <v>0</v>
      </c>
      <c r="H39" s="11">
        <v>0</v>
      </c>
      <c r="I39" s="11">
        <v>16</v>
      </c>
      <c r="J39" s="11">
        <v>25</v>
      </c>
      <c r="K39" s="11">
        <v>30</v>
      </c>
      <c r="L39" s="11">
        <v>130</v>
      </c>
      <c r="M39" s="11">
        <v>125</v>
      </c>
      <c r="N39" s="11">
        <v>160</v>
      </c>
      <c r="O39" s="11">
        <v>250</v>
      </c>
      <c r="P39" s="11">
        <v>120</v>
      </c>
      <c r="Q39" s="11">
        <v>120</v>
      </c>
      <c r="R39" s="11">
        <v>180</v>
      </c>
      <c r="S39" s="11">
        <v>90</v>
      </c>
      <c r="T39" s="11">
        <v>0</v>
      </c>
      <c r="U39" s="11"/>
      <c r="V39" s="11"/>
      <c r="W39" s="11"/>
      <c r="X39" s="11"/>
      <c r="Y39" s="11"/>
      <c r="Z39" s="11"/>
      <c r="AA39" s="11"/>
      <c r="AB39" s="11"/>
      <c r="AC39" s="11"/>
      <c r="AD39" s="11"/>
      <c r="AE39" s="11"/>
      <c r="AF39" s="11"/>
    </row>
    <row r="40" spans="2:32" s="7" customFormat="1" ht="12.95" customHeight="1">
      <c r="B40" s="10" t="s">
        <v>11</v>
      </c>
      <c r="C40" s="10">
        <f>C38</f>
        <v>0</v>
      </c>
      <c r="D40" s="11">
        <f t="shared" ref="D40:AF40" si="6">C40+D38</f>
        <v>0</v>
      </c>
      <c r="E40" s="11">
        <f t="shared" si="6"/>
        <v>0</v>
      </c>
      <c r="F40" s="11">
        <f t="shared" si="6"/>
        <v>0</v>
      </c>
      <c r="G40" s="11">
        <f t="shared" si="6"/>
        <v>0</v>
      </c>
      <c r="H40" s="11">
        <f t="shared" si="6"/>
        <v>0</v>
      </c>
      <c r="I40" s="11">
        <f t="shared" si="6"/>
        <v>16</v>
      </c>
      <c r="J40" s="11">
        <f t="shared" si="6"/>
        <v>41</v>
      </c>
      <c r="K40" s="11">
        <f t="shared" si="6"/>
        <v>71</v>
      </c>
      <c r="L40" s="11">
        <f t="shared" si="6"/>
        <v>201</v>
      </c>
      <c r="M40" s="11">
        <f t="shared" si="6"/>
        <v>326</v>
      </c>
      <c r="N40" s="11">
        <f t="shared" si="6"/>
        <v>486</v>
      </c>
      <c r="O40" s="11">
        <f t="shared" si="6"/>
        <v>736</v>
      </c>
      <c r="P40" s="11">
        <f t="shared" si="6"/>
        <v>856</v>
      </c>
      <c r="Q40" s="11">
        <f t="shared" si="6"/>
        <v>976</v>
      </c>
      <c r="R40" s="11">
        <f t="shared" si="6"/>
        <v>1156</v>
      </c>
      <c r="S40" s="11">
        <f t="shared" si="6"/>
        <v>1266</v>
      </c>
      <c r="T40" s="11">
        <f t="shared" si="6"/>
        <v>1416</v>
      </c>
      <c r="U40" s="11">
        <f t="shared" si="6"/>
        <v>1416</v>
      </c>
      <c r="V40" s="11">
        <f t="shared" si="6"/>
        <v>1416</v>
      </c>
      <c r="W40" s="11">
        <f t="shared" si="6"/>
        <v>1416</v>
      </c>
      <c r="X40" s="11">
        <f t="shared" si="6"/>
        <v>1416</v>
      </c>
      <c r="Y40" s="11">
        <f t="shared" si="6"/>
        <v>1416</v>
      </c>
      <c r="Z40" s="11">
        <f t="shared" si="6"/>
        <v>1416</v>
      </c>
      <c r="AA40" s="11">
        <f t="shared" si="6"/>
        <v>1416</v>
      </c>
      <c r="AB40" s="11">
        <f t="shared" si="6"/>
        <v>1416</v>
      </c>
      <c r="AC40" s="11">
        <f t="shared" si="6"/>
        <v>1416</v>
      </c>
      <c r="AD40" s="11">
        <f t="shared" si="6"/>
        <v>1416</v>
      </c>
      <c r="AE40" s="11">
        <f t="shared" si="6"/>
        <v>1416</v>
      </c>
      <c r="AF40" s="11">
        <f t="shared" si="6"/>
        <v>1416</v>
      </c>
    </row>
    <row r="41" spans="2:32" s="7" customFormat="1" ht="12.95" customHeight="1">
      <c r="B41" s="10" t="s">
        <v>12</v>
      </c>
      <c r="C41" s="10">
        <f>C39</f>
        <v>0</v>
      </c>
      <c r="D41" s="11">
        <f t="shared" ref="D41:AF41" si="7">C41+D39</f>
        <v>0</v>
      </c>
      <c r="E41" s="11">
        <f t="shared" si="7"/>
        <v>0</v>
      </c>
      <c r="F41" s="11">
        <f t="shared" si="7"/>
        <v>0</v>
      </c>
      <c r="G41" s="11">
        <f t="shared" si="7"/>
        <v>0</v>
      </c>
      <c r="H41" s="11">
        <f t="shared" si="7"/>
        <v>0</v>
      </c>
      <c r="I41" s="11">
        <f t="shared" si="7"/>
        <v>16</v>
      </c>
      <c r="J41" s="11">
        <f t="shared" si="7"/>
        <v>41</v>
      </c>
      <c r="K41" s="11">
        <f t="shared" si="7"/>
        <v>71</v>
      </c>
      <c r="L41" s="11">
        <f t="shared" si="7"/>
        <v>201</v>
      </c>
      <c r="M41" s="11">
        <f t="shared" si="7"/>
        <v>326</v>
      </c>
      <c r="N41" s="11">
        <f t="shared" si="7"/>
        <v>486</v>
      </c>
      <c r="O41" s="11">
        <f t="shared" si="7"/>
        <v>736</v>
      </c>
      <c r="P41" s="11">
        <f t="shared" si="7"/>
        <v>856</v>
      </c>
      <c r="Q41" s="11">
        <f t="shared" si="7"/>
        <v>976</v>
      </c>
      <c r="R41" s="11">
        <f t="shared" si="7"/>
        <v>1156</v>
      </c>
      <c r="S41" s="11">
        <f t="shared" si="7"/>
        <v>1246</v>
      </c>
      <c r="T41" s="11">
        <f t="shared" si="7"/>
        <v>1246</v>
      </c>
      <c r="U41" s="11">
        <f t="shared" si="7"/>
        <v>1246</v>
      </c>
      <c r="V41" s="11">
        <f t="shared" si="7"/>
        <v>1246</v>
      </c>
      <c r="W41" s="11">
        <f t="shared" si="7"/>
        <v>1246</v>
      </c>
      <c r="X41" s="11">
        <f t="shared" si="7"/>
        <v>1246</v>
      </c>
      <c r="Y41" s="11">
        <f t="shared" si="7"/>
        <v>1246</v>
      </c>
      <c r="Z41" s="11">
        <f t="shared" si="7"/>
        <v>1246</v>
      </c>
      <c r="AA41" s="11">
        <f t="shared" si="7"/>
        <v>1246</v>
      </c>
      <c r="AB41" s="11">
        <f t="shared" si="7"/>
        <v>1246</v>
      </c>
      <c r="AC41" s="11">
        <f t="shared" si="7"/>
        <v>1246</v>
      </c>
      <c r="AD41" s="11">
        <f t="shared" si="7"/>
        <v>1246</v>
      </c>
      <c r="AE41" s="11">
        <f t="shared" si="7"/>
        <v>1246</v>
      </c>
      <c r="AF41" s="11">
        <f t="shared" si="7"/>
        <v>1246</v>
      </c>
    </row>
    <row r="42" spans="2:32" s="7" customFormat="1" ht="12.95" customHeight="1">
      <c r="B42" s="13" t="s">
        <v>13</v>
      </c>
      <c r="C42" s="13">
        <f t="shared" ref="C42:AF42" si="8">$K$52 - C40</f>
        <v>1416</v>
      </c>
      <c r="D42" s="13">
        <f t="shared" si="8"/>
        <v>1416</v>
      </c>
      <c r="E42" s="13">
        <f t="shared" si="8"/>
        <v>1416</v>
      </c>
      <c r="F42" s="13">
        <f t="shared" si="8"/>
        <v>1416</v>
      </c>
      <c r="G42" s="13">
        <f t="shared" si="8"/>
        <v>1416</v>
      </c>
      <c r="H42" s="13">
        <f t="shared" si="8"/>
        <v>1416</v>
      </c>
      <c r="I42" s="13">
        <f t="shared" si="8"/>
        <v>1400</v>
      </c>
      <c r="J42" s="13">
        <f t="shared" si="8"/>
        <v>1375</v>
      </c>
      <c r="K42" s="13">
        <f t="shared" si="8"/>
        <v>1345</v>
      </c>
      <c r="L42" s="13">
        <f t="shared" si="8"/>
        <v>1215</v>
      </c>
      <c r="M42" s="13">
        <f t="shared" si="8"/>
        <v>1090</v>
      </c>
      <c r="N42" s="13">
        <f t="shared" si="8"/>
        <v>930</v>
      </c>
      <c r="O42" s="13">
        <f t="shared" si="8"/>
        <v>680</v>
      </c>
      <c r="P42" s="13">
        <f t="shared" si="8"/>
        <v>560</v>
      </c>
      <c r="Q42" s="13">
        <f t="shared" si="8"/>
        <v>440</v>
      </c>
      <c r="R42" s="13">
        <f t="shared" si="8"/>
        <v>260</v>
      </c>
      <c r="S42" s="13">
        <f t="shared" si="8"/>
        <v>150</v>
      </c>
      <c r="T42" s="13">
        <f t="shared" si="8"/>
        <v>0</v>
      </c>
      <c r="U42" s="13">
        <f t="shared" si="8"/>
        <v>0</v>
      </c>
      <c r="V42" s="13">
        <f t="shared" si="8"/>
        <v>0</v>
      </c>
      <c r="W42" s="13">
        <f t="shared" si="8"/>
        <v>0</v>
      </c>
      <c r="X42" s="13">
        <f t="shared" si="8"/>
        <v>0</v>
      </c>
      <c r="Y42" s="13">
        <f t="shared" si="8"/>
        <v>0</v>
      </c>
      <c r="Z42" s="13">
        <f t="shared" si="8"/>
        <v>0</v>
      </c>
      <c r="AA42" s="13">
        <f t="shared" si="8"/>
        <v>0</v>
      </c>
      <c r="AB42" s="13">
        <f t="shared" si="8"/>
        <v>0</v>
      </c>
      <c r="AC42" s="13">
        <f t="shared" si="8"/>
        <v>0</v>
      </c>
      <c r="AD42" s="13">
        <f t="shared" si="8"/>
        <v>0</v>
      </c>
      <c r="AE42" s="13">
        <f t="shared" si="8"/>
        <v>0</v>
      </c>
      <c r="AF42" s="13">
        <f t="shared" si="8"/>
        <v>0</v>
      </c>
    </row>
    <row r="43" spans="2:32" s="7" customFormat="1" ht="12.95" customHeight="1" thickBot="1">
      <c r="B43" s="36" t="s">
        <v>14</v>
      </c>
      <c r="C43" s="36">
        <f t="shared" ref="C43:AF43" si="9">$K$52 - C41</f>
        <v>1416</v>
      </c>
      <c r="D43" s="36">
        <f t="shared" si="9"/>
        <v>1416</v>
      </c>
      <c r="E43" s="36">
        <f t="shared" si="9"/>
        <v>1416</v>
      </c>
      <c r="F43" s="36">
        <f t="shared" si="9"/>
        <v>1416</v>
      </c>
      <c r="G43" s="36">
        <f t="shared" si="9"/>
        <v>1416</v>
      </c>
      <c r="H43" s="36">
        <f t="shared" si="9"/>
        <v>1416</v>
      </c>
      <c r="I43" s="36">
        <f t="shared" si="9"/>
        <v>1400</v>
      </c>
      <c r="J43" s="36">
        <f t="shared" si="9"/>
        <v>1375</v>
      </c>
      <c r="K43" s="36">
        <f t="shared" si="9"/>
        <v>1345</v>
      </c>
      <c r="L43" s="36">
        <f t="shared" si="9"/>
        <v>1215</v>
      </c>
      <c r="M43" s="36">
        <f t="shared" si="9"/>
        <v>1090</v>
      </c>
      <c r="N43" s="36">
        <f t="shared" si="9"/>
        <v>930</v>
      </c>
      <c r="O43" s="36">
        <f t="shared" si="9"/>
        <v>680</v>
      </c>
      <c r="P43" s="36">
        <f t="shared" si="9"/>
        <v>560</v>
      </c>
      <c r="Q43" s="36">
        <f t="shared" si="9"/>
        <v>440</v>
      </c>
      <c r="R43" s="36">
        <f t="shared" si="9"/>
        <v>260</v>
      </c>
      <c r="S43" s="36">
        <f t="shared" si="9"/>
        <v>170</v>
      </c>
      <c r="T43" s="36">
        <f t="shared" si="9"/>
        <v>170</v>
      </c>
      <c r="U43" s="36">
        <f t="shared" si="9"/>
        <v>170</v>
      </c>
      <c r="V43" s="36">
        <f t="shared" si="9"/>
        <v>170</v>
      </c>
      <c r="W43" s="36">
        <f t="shared" si="9"/>
        <v>170</v>
      </c>
      <c r="X43" s="36">
        <f t="shared" si="9"/>
        <v>170</v>
      </c>
      <c r="Y43" s="36">
        <f t="shared" si="9"/>
        <v>170</v>
      </c>
      <c r="Z43" s="36">
        <f t="shared" si="9"/>
        <v>170</v>
      </c>
      <c r="AA43" s="36">
        <f t="shared" si="9"/>
        <v>170</v>
      </c>
      <c r="AB43" s="36">
        <f t="shared" si="9"/>
        <v>170</v>
      </c>
      <c r="AC43" s="36">
        <f t="shared" si="9"/>
        <v>170</v>
      </c>
      <c r="AD43" s="36">
        <f t="shared" si="9"/>
        <v>170</v>
      </c>
      <c r="AE43" s="36">
        <f t="shared" si="9"/>
        <v>170</v>
      </c>
      <c r="AF43" s="36">
        <f t="shared" si="9"/>
        <v>170</v>
      </c>
    </row>
    <row r="44" spans="2:32" s="7" customFormat="1" ht="12.95" customHeight="1" thickTop="1">
      <c r="B44" s="35" t="s">
        <v>15</v>
      </c>
      <c r="C44" s="35">
        <v>0</v>
      </c>
      <c r="D44" s="35">
        <v>0</v>
      </c>
      <c r="E44" s="35">
        <v>0</v>
      </c>
      <c r="F44" s="35">
        <v>0</v>
      </c>
      <c r="G44" s="35">
        <v>0</v>
      </c>
      <c r="H44" s="35">
        <v>0</v>
      </c>
      <c r="I44" s="35">
        <v>0</v>
      </c>
      <c r="J44" s="35">
        <v>1</v>
      </c>
      <c r="K44" s="35">
        <v>9</v>
      </c>
      <c r="L44" s="35">
        <v>13</v>
      </c>
      <c r="M44" s="35">
        <v>25</v>
      </c>
      <c r="N44" s="35">
        <v>31</v>
      </c>
      <c r="O44" s="35">
        <v>38</v>
      </c>
      <c r="P44" s="35">
        <v>43</v>
      </c>
      <c r="Q44" s="35">
        <v>20</v>
      </c>
      <c r="R44" s="35">
        <v>55</v>
      </c>
      <c r="S44" s="35">
        <v>42</v>
      </c>
      <c r="T44" s="35">
        <v>0</v>
      </c>
      <c r="U44" s="35"/>
      <c r="V44" s="35"/>
      <c r="W44" s="35"/>
      <c r="X44" s="35"/>
      <c r="Y44" s="35"/>
      <c r="Z44" s="35"/>
      <c r="AA44" s="35"/>
      <c r="AB44" s="35"/>
      <c r="AC44" s="35"/>
      <c r="AD44" s="35"/>
      <c r="AE44" s="35"/>
      <c r="AF44" s="35"/>
    </row>
    <row r="45" spans="2:32" s="7" customFormat="1" ht="12.95" customHeight="1">
      <c r="B45" s="11" t="s">
        <v>16</v>
      </c>
      <c r="C45" s="11">
        <v>0</v>
      </c>
      <c r="D45" s="11">
        <v>0</v>
      </c>
      <c r="E45" s="11">
        <v>0</v>
      </c>
      <c r="F45" s="11">
        <v>0</v>
      </c>
      <c r="G45" s="11">
        <v>0</v>
      </c>
      <c r="H45" s="11">
        <v>0</v>
      </c>
      <c r="I45" s="11">
        <v>0</v>
      </c>
      <c r="J45" s="11">
        <v>1</v>
      </c>
      <c r="K45" s="11">
        <v>8</v>
      </c>
      <c r="L45" s="11">
        <v>10</v>
      </c>
      <c r="M45" s="11">
        <v>26</v>
      </c>
      <c r="N45" s="11">
        <v>23</v>
      </c>
      <c r="O45" s="11">
        <v>8</v>
      </c>
      <c r="P45" s="11">
        <v>71</v>
      </c>
      <c r="Q45" s="11">
        <v>29</v>
      </c>
      <c r="R45" s="11">
        <v>46</v>
      </c>
      <c r="S45" s="11">
        <v>39</v>
      </c>
      <c r="T45" s="11">
        <v>0</v>
      </c>
      <c r="U45" s="11"/>
      <c r="V45" s="11"/>
      <c r="W45" s="11"/>
      <c r="X45" s="11"/>
      <c r="Y45" s="11"/>
      <c r="Z45" s="11"/>
      <c r="AA45" s="11"/>
      <c r="AB45" s="11"/>
      <c r="AC45" s="11"/>
      <c r="AD45" s="11"/>
      <c r="AE45" s="11"/>
      <c r="AF45" s="11"/>
    </row>
    <row r="46" spans="2:32" s="7" customFormat="1" ht="12.95" customHeight="1">
      <c r="B46" s="12" t="s">
        <v>17</v>
      </c>
      <c r="C46" s="12">
        <f>C44</f>
        <v>0</v>
      </c>
      <c r="D46" s="12">
        <f t="shared" ref="D46:AF46" si="10">C46+D44</f>
        <v>0</v>
      </c>
      <c r="E46" s="12">
        <f t="shared" si="10"/>
        <v>0</v>
      </c>
      <c r="F46" s="12">
        <f t="shared" si="10"/>
        <v>0</v>
      </c>
      <c r="G46" s="12">
        <f t="shared" si="10"/>
        <v>0</v>
      </c>
      <c r="H46" s="12">
        <f t="shared" si="10"/>
        <v>0</v>
      </c>
      <c r="I46" s="12">
        <f t="shared" si="10"/>
        <v>0</v>
      </c>
      <c r="J46" s="12">
        <f t="shared" si="10"/>
        <v>1</v>
      </c>
      <c r="K46" s="12">
        <f t="shared" si="10"/>
        <v>10</v>
      </c>
      <c r="L46" s="12">
        <f t="shared" si="10"/>
        <v>23</v>
      </c>
      <c r="M46" s="12">
        <f t="shared" si="10"/>
        <v>48</v>
      </c>
      <c r="N46" s="12">
        <f t="shared" si="10"/>
        <v>79</v>
      </c>
      <c r="O46" s="12">
        <f t="shared" si="10"/>
        <v>117</v>
      </c>
      <c r="P46" s="12">
        <f t="shared" si="10"/>
        <v>160</v>
      </c>
      <c r="Q46" s="12">
        <f t="shared" si="10"/>
        <v>180</v>
      </c>
      <c r="R46" s="12">
        <f t="shared" si="10"/>
        <v>235</v>
      </c>
      <c r="S46" s="12">
        <f t="shared" si="10"/>
        <v>277</v>
      </c>
      <c r="T46" s="12">
        <f t="shared" si="10"/>
        <v>277</v>
      </c>
      <c r="U46" s="12">
        <f t="shared" si="10"/>
        <v>277</v>
      </c>
      <c r="V46" s="12">
        <f t="shared" si="10"/>
        <v>277</v>
      </c>
      <c r="W46" s="12">
        <f t="shared" si="10"/>
        <v>277</v>
      </c>
      <c r="X46" s="12">
        <f t="shared" si="10"/>
        <v>277</v>
      </c>
      <c r="Y46" s="12">
        <f t="shared" si="10"/>
        <v>277</v>
      </c>
      <c r="Z46" s="12">
        <f t="shared" si="10"/>
        <v>277</v>
      </c>
      <c r="AA46" s="12">
        <f t="shared" si="10"/>
        <v>277</v>
      </c>
      <c r="AB46" s="12">
        <f t="shared" si="10"/>
        <v>277</v>
      </c>
      <c r="AC46" s="12">
        <f t="shared" si="10"/>
        <v>277</v>
      </c>
      <c r="AD46" s="12">
        <f t="shared" si="10"/>
        <v>277</v>
      </c>
      <c r="AE46" s="12">
        <f t="shared" si="10"/>
        <v>277</v>
      </c>
      <c r="AF46" s="12">
        <f t="shared" si="10"/>
        <v>277</v>
      </c>
    </row>
    <row r="47" spans="2:32" s="7" customFormat="1" ht="12.95" customHeight="1">
      <c r="B47" s="12" t="s">
        <v>18</v>
      </c>
      <c r="C47" s="12">
        <f>C45</f>
        <v>0</v>
      </c>
      <c r="D47" s="12">
        <f t="shared" ref="D47:AF47" si="11">C47+D45</f>
        <v>0</v>
      </c>
      <c r="E47" s="12">
        <f t="shared" si="11"/>
        <v>0</v>
      </c>
      <c r="F47" s="12">
        <f t="shared" si="11"/>
        <v>0</v>
      </c>
      <c r="G47" s="12">
        <f t="shared" si="11"/>
        <v>0</v>
      </c>
      <c r="H47" s="12">
        <f t="shared" si="11"/>
        <v>0</v>
      </c>
      <c r="I47" s="12">
        <f t="shared" si="11"/>
        <v>0</v>
      </c>
      <c r="J47" s="12">
        <f t="shared" si="11"/>
        <v>1</v>
      </c>
      <c r="K47" s="12">
        <f t="shared" si="11"/>
        <v>9</v>
      </c>
      <c r="L47" s="12">
        <f t="shared" si="11"/>
        <v>19</v>
      </c>
      <c r="M47" s="12">
        <f t="shared" si="11"/>
        <v>45</v>
      </c>
      <c r="N47" s="12">
        <f t="shared" si="11"/>
        <v>68</v>
      </c>
      <c r="O47" s="12">
        <f t="shared" si="11"/>
        <v>76</v>
      </c>
      <c r="P47" s="12">
        <f t="shared" si="11"/>
        <v>147</v>
      </c>
      <c r="Q47" s="12">
        <f t="shared" si="11"/>
        <v>176</v>
      </c>
      <c r="R47" s="12">
        <f t="shared" si="11"/>
        <v>222</v>
      </c>
      <c r="S47" s="12">
        <f t="shared" si="11"/>
        <v>261</v>
      </c>
      <c r="T47" s="12">
        <f t="shared" si="11"/>
        <v>261</v>
      </c>
      <c r="U47" s="12">
        <f t="shared" si="11"/>
        <v>261</v>
      </c>
      <c r="V47" s="12">
        <f t="shared" si="11"/>
        <v>261</v>
      </c>
      <c r="W47" s="12">
        <f t="shared" si="11"/>
        <v>261</v>
      </c>
      <c r="X47" s="12">
        <f t="shared" si="11"/>
        <v>261</v>
      </c>
      <c r="Y47" s="12">
        <f t="shared" si="11"/>
        <v>261</v>
      </c>
      <c r="Z47" s="12">
        <f t="shared" si="11"/>
        <v>261</v>
      </c>
      <c r="AA47" s="12">
        <f t="shared" si="11"/>
        <v>261</v>
      </c>
      <c r="AB47" s="12">
        <f t="shared" si="11"/>
        <v>261</v>
      </c>
      <c r="AC47" s="12">
        <f t="shared" si="11"/>
        <v>261</v>
      </c>
      <c r="AD47" s="12">
        <f t="shared" si="11"/>
        <v>261</v>
      </c>
      <c r="AE47" s="12">
        <f t="shared" si="11"/>
        <v>261</v>
      </c>
      <c r="AF47" s="12">
        <f t="shared" si="11"/>
        <v>261</v>
      </c>
    </row>
    <row r="48" spans="2:32" s="7" customFormat="1" ht="12.95" customHeight="1">
      <c r="B48" s="11" t="s">
        <v>19</v>
      </c>
      <c r="C48" s="11">
        <f>C46-C47</f>
        <v>0</v>
      </c>
      <c r="D48" s="11">
        <f t="shared" ref="D48:AF48" si="12">D46-D47</f>
        <v>0</v>
      </c>
      <c r="E48" s="11">
        <f t="shared" si="12"/>
        <v>0</v>
      </c>
      <c r="F48" s="11">
        <f t="shared" si="12"/>
        <v>0</v>
      </c>
      <c r="G48" s="11">
        <f t="shared" si="12"/>
        <v>0</v>
      </c>
      <c r="H48" s="11">
        <f t="shared" si="12"/>
        <v>0</v>
      </c>
      <c r="I48" s="11">
        <f t="shared" si="12"/>
        <v>0</v>
      </c>
      <c r="J48" s="11">
        <f t="shared" si="12"/>
        <v>0</v>
      </c>
      <c r="K48" s="11">
        <f t="shared" si="12"/>
        <v>1</v>
      </c>
      <c r="L48" s="11">
        <f t="shared" si="12"/>
        <v>4</v>
      </c>
      <c r="M48" s="11">
        <f t="shared" si="12"/>
        <v>3</v>
      </c>
      <c r="N48" s="11">
        <f t="shared" si="12"/>
        <v>11</v>
      </c>
      <c r="O48" s="11">
        <f t="shared" si="12"/>
        <v>41</v>
      </c>
      <c r="P48" s="11">
        <f t="shared" si="12"/>
        <v>13</v>
      </c>
      <c r="Q48" s="11">
        <f t="shared" si="12"/>
        <v>4</v>
      </c>
      <c r="R48" s="11">
        <f t="shared" si="12"/>
        <v>13</v>
      </c>
      <c r="S48" s="11">
        <f t="shared" si="12"/>
        <v>16</v>
      </c>
      <c r="T48" s="11">
        <f t="shared" si="12"/>
        <v>16</v>
      </c>
      <c r="U48" s="11">
        <f t="shared" si="12"/>
        <v>16</v>
      </c>
      <c r="V48" s="11">
        <f t="shared" si="12"/>
        <v>16</v>
      </c>
      <c r="W48" s="11">
        <f t="shared" si="12"/>
        <v>16</v>
      </c>
      <c r="X48" s="11">
        <f t="shared" si="12"/>
        <v>16</v>
      </c>
      <c r="Y48" s="11">
        <f t="shared" si="12"/>
        <v>16</v>
      </c>
      <c r="Z48" s="11">
        <f t="shared" si="12"/>
        <v>16</v>
      </c>
      <c r="AA48" s="11">
        <f t="shared" si="12"/>
        <v>16</v>
      </c>
      <c r="AB48" s="11">
        <f t="shared" si="12"/>
        <v>16</v>
      </c>
      <c r="AC48" s="11">
        <f t="shared" si="12"/>
        <v>16</v>
      </c>
      <c r="AD48" s="11">
        <f t="shared" si="12"/>
        <v>16</v>
      </c>
      <c r="AE48" s="11">
        <f t="shared" si="12"/>
        <v>16</v>
      </c>
      <c r="AF48" s="11">
        <f t="shared" si="12"/>
        <v>16</v>
      </c>
    </row>
    <row r="49" spans="2:32" s="2" customFormat="1" ht="6.75" customHeight="1">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spans="2:32" ht="12" customHeight="1"/>
    <row r="51" spans="2:32" ht="21" customHeight="1">
      <c r="B51" s="4"/>
      <c r="C51" s="206" t="s">
        <v>20</v>
      </c>
      <c r="D51" s="206"/>
      <c r="E51" s="207" t="s">
        <v>21</v>
      </c>
      <c r="F51" s="207"/>
      <c r="G51" s="199" t="s">
        <v>22</v>
      </c>
      <c r="H51" s="202"/>
      <c r="I51" s="181" t="s">
        <v>23</v>
      </c>
      <c r="J51" s="182"/>
      <c r="K51" s="181" t="s">
        <v>24</v>
      </c>
      <c r="L51" s="182"/>
    </row>
    <row r="52" spans="2:32" ht="11.25" customHeight="1">
      <c r="B52" s="5" t="s">
        <v>25</v>
      </c>
      <c r="C52" s="184" t="s">
        <v>261</v>
      </c>
      <c r="D52" s="184"/>
      <c r="E52" s="165">
        <v>0</v>
      </c>
      <c r="F52" s="166"/>
      <c r="G52" s="154">
        <v>219</v>
      </c>
      <c r="H52" s="164"/>
      <c r="I52" s="183">
        <v>130</v>
      </c>
      <c r="J52" s="184"/>
      <c r="K52" s="183">
        <v>1416</v>
      </c>
      <c r="L52" s="184"/>
      <c r="R52" s="271" t="s">
        <v>28</v>
      </c>
      <c r="S52" s="272"/>
      <c r="T52" s="273"/>
      <c r="U52" s="268" t="s">
        <v>29</v>
      </c>
      <c r="V52" s="268"/>
      <c r="W52" s="268"/>
      <c r="X52" s="265" t="s">
        <v>30</v>
      </c>
      <c r="Y52" s="266"/>
      <c r="Z52" s="267"/>
      <c r="AA52" s="265" t="s">
        <v>31</v>
      </c>
      <c r="AB52" s="266"/>
      <c r="AC52" s="267"/>
    </row>
    <row r="53" spans="2:32" ht="13.5" customHeight="1">
      <c r="R53" s="274">
        <f>U53+X53-AA53</f>
        <v>0</v>
      </c>
      <c r="S53" s="275"/>
      <c r="T53" s="276"/>
      <c r="U53" s="167">
        <v>0</v>
      </c>
      <c r="V53" s="167"/>
      <c r="W53" s="167"/>
      <c r="X53" s="274">
        <v>0</v>
      </c>
      <c r="Y53" s="275"/>
      <c r="Z53" s="267"/>
      <c r="AA53" s="274">
        <v>0</v>
      </c>
      <c r="AB53" s="275"/>
      <c r="AC53" s="267"/>
    </row>
    <row r="54" spans="2:32" ht="9.75" customHeight="1">
      <c r="B54" s="199" t="s">
        <v>32</v>
      </c>
      <c r="C54" s="169" t="s">
        <v>33</v>
      </c>
      <c r="D54" s="209"/>
      <c r="E54" s="209"/>
      <c r="F54" s="209"/>
      <c r="G54" s="209"/>
      <c r="H54" s="210"/>
      <c r="I54" s="155" t="s">
        <v>34</v>
      </c>
      <c r="J54" s="224"/>
      <c r="K54" s="211" t="s">
        <v>35</v>
      </c>
      <c r="L54" s="182"/>
      <c r="M54" s="199" t="s">
        <v>36</v>
      </c>
      <c r="N54" s="199"/>
    </row>
    <row r="55" spans="2:32" ht="20.25" customHeight="1">
      <c r="B55" s="206"/>
      <c r="C55" s="205" t="s">
        <v>37</v>
      </c>
      <c r="D55" s="205"/>
      <c r="E55" s="199" t="s">
        <v>38</v>
      </c>
      <c r="F55" s="199"/>
      <c r="G55" s="199" t="s">
        <v>39</v>
      </c>
      <c r="H55" s="202"/>
      <c r="I55" s="225"/>
      <c r="J55" s="226"/>
      <c r="K55" s="211"/>
      <c r="L55" s="182"/>
      <c r="M55" s="199"/>
      <c r="N55" s="199"/>
      <c r="O55" s="146"/>
      <c r="P55" s="16"/>
      <c r="R55" s="215"/>
      <c r="S55" s="216"/>
      <c r="T55" s="217"/>
      <c r="U55" s="169" t="s">
        <v>40</v>
      </c>
      <c r="V55" s="170"/>
      <c r="W55" s="170"/>
      <c r="X55" s="170"/>
      <c r="Y55" s="170"/>
      <c r="Z55" s="171"/>
      <c r="AA55" s="300" t="s">
        <v>41</v>
      </c>
      <c r="AB55" s="170"/>
      <c r="AC55" s="170"/>
      <c r="AD55" s="170"/>
      <c r="AE55" s="170"/>
      <c r="AF55" s="301"/>
    </row>
    <row r="56" spans="2:32" ht="10.5" customHeight="1">
      <c r="B56" s="6" t="s">
        <v>42</v>
      </c>
      <c r="C56" s="184">
        <f>E56+G56</f>
        <v>69</v>
      </c>
      <c r="D56" s="184"/>
      <c r="E56" s="203">
        <v>67</v>
      </c>
      <c r="F56" s="183"/>
      <c r="G56" s="203">
        <v>2</v>
      </c>
      <c r="H56" s="204"/>
      <c r="I56" s="227">
        <v>69</v>
      </c>
      <c r="J56" s="228"/>
      <c r="K56" s="165">
        <v>0</v>
      </c>
      <c r="L56" s="166"/>
      <c r="M56" s="168" t="s">
        <v>43</v>
      </c>
      <c r="N56" s="168"/>
      <c r="O56" s="146"/>
      <c r="P56" s="16"/>
      <c r="R56" s="218"/>
      <c r="S56" s="219"/>
      <c r="T56" s="220"/>
      <c r="U56" s="189" t="s">
        <v>44</v>
      </c>
      <c r="V56" s="156"/>
      <c r="W56" s="278" t="s">
        <v>45</v>
      </c>
      <c r="X56" s="237"/>
      <c r="Y56" s="159" t="s">
        <v>46</v>
      </c>
      <c r="Z56" s="160"/>
      <c r="AA56" s="155" t="s">
        <v>44</v>
      </c>
      <c r="AB56" s="156"/>
      <c r="AC56" s="278" t="s">
        <v>45</v>
      </c>
      <c r="AD56" s="237"/>
      <c r="AE56" s="159" t="s">
        <v>46</v>
      </c>
      <c r="AF56" s="302"/>
    </row>
    <row r="57" spans="2:32" ht="13.5" customHeight="1">
      <c r="B57" s="6" t="s">
        <v>47</v>
      </c>
      <c r="C57" s="184">
        <f>E57+G57</f>
        <v>69</v>
      </c>
      <c r="D57" s="184"/>
      <c r="E57" s="203">
        <v>67</v>
      </c>
      <c r="F57" s="183"/>
      <c r="G57" s="203">
        <v>2</v>
      </c>
      <c r="H57" s="204"/>
      <c r="I57" s="227">
        <v>69</v>
      </c>
      <c r="J57" s="228"/>
      <c r="K57" s="165">
        <v>0</v>
      </c>
      <c r="L57" s="166"/>
      <c r="M57" s="168" t="s">
        <v>43</v>
      </c>
      <c r="N57" s="168"/>
      <c r="O57" s="146"/>
      <c r="P57" s="16"/>
      <c r="R57" s="221"/>
      <c r="S57" s="222"/>
      <c r="T57" s="223"/>
      <c r="U57" s="277"/>
      <c r="V57" s="158"/>
      <c r="W57" s="279"/>
      <c r="X57" s="280"/>
      <c r="Y57" s="161"/>
      <c r="Z57" s="162"/>
      <c r="AA57" s="157"/>
      <c r="AB57" s="158"/>
      <c r="AC57" s="279"/>
      <c r="AD57" s="280"/>
      <c r="AE57" s="161"/>
      <c r="AF57" s="303"/>
    </row>
    <row r="58" spans="2:32" ht="13.5" customHeight="1">
      <c r="B58" s="6" t="s">
        <v>48</v>
      </c>
      <c r="C58" s="184">
        <f>E58+G58</f>
        <v>67</v>
      </c>
      <c r="D58" s="184"/>
      <c r="E58" s="203">
        <v>63</v>
      </c>
      <c r="F58" s="183"/>
      <c r="G58" s="203">
        <v>4</v>
      </c>
      <c r="H58" s="204"/>
      <c r="I58" s="227">
        <v>69</v>
      </c>
      <c r="J58" s="228"/>
      <c r="K58" s="165" t="s">
        <v>262</v>
      </c>
      <c r="L58" s="166"/>
      <c r="M58" s="168" t="s">
        <v>263</v>
      </c>
      <c r="N58" s="168"/>
      <c r="O58" s="146"/>
      <c r="P58" s="16"/>
      <c r="R58" s="212" t="s">
        <v>49</v>
      </c>
      <c r="S58" s="213"/>
      <c r="T58" s="214"/>
      <c r="U58" s="154">
        <v>0</v>
      </c>
      <c r="V58" s="154"/>
      <c r="W58" s="154">
        <f>U58-Y58</f>
        <v>0</v>
      </c>
      <c r="X58" s="154"/>
      <c r="Y58" s="163">
        <v>0</v>
      </c>
      <c r="Z58" s="164"/>
      <c r="AA58" s="153">
        <v>0</v>
      </c>
      <c r="AB58" s="154"/>
      <c r="AC58" s="154">
        <f>AA58-AE58</f>
        <v>0</v>
      </c>
      <c r="AD58" s="154"/>
      <c r="AE58" s="163">
        <v>0</v>
      </c>
      <c r="AF58" s="154"/>
    </row>
    <row r="59" spans="2:32" ht="13.5" customHeight="1">
      <c r="B59" s="17" t="s">
        <v>50</v>
      </c>
      <c r="C59" s="203">
        <f>SUM(C56:D58)</f>
        <v>205</v>
      </c>
      <c r="D59" s="228"/>
      <c r="E59" s="203">
        <f>SUM(E56:F58)</f>
        <v>197</v>
      </c>
      <c r="F59" s="183"/>
      <c r="G59" s="203">
        <f>SUM(G56:H58)</f>
        <v>8</v>
      </c>
      <c r="H59" s="228"/>
      <c r="I59" s="227">
        <f>SUM(I56:J58)</f>
        <v>207</v>
      </c>
      <c r="J59" s="183"/>
      <c r="K59" s="165" t="s">
        <v>262</v>
      </c>
      <c r="L59" s="198"/>
      <c r="M59" s="196" t="s">
        <v>263</v>
      </c>
      <c r="N59" s="197"/>
      <c r="O59" s="16"/>
      <c r="P59" s="16"/>
    </row>
    <row r="60" spans="2:32" ht="13.35" customHeight="1">
      <c r="B60" s="18"/>
      <c r="C60" s="18"/>
      <c r="D60" s="18"/>
      <c r="E60" s="18"/>
      <c r="F60" s="18"/>
      <c r="G60" s="18"/>
      <c r="H60" s="18"/>
      <c r="I60" s="18"/>
      <c r="J60" s="18"/>
      <c r="K60" s="18"/>
      <c r="L60" s="18"/>
      <c r="M60" s="18"/>
      <c r="N60" s="18"/>
      <c r="O60" s="148"/>
      <c r="P60" s="147"/>
      <c r="R60" s="176" t="s">
        <v>51</v>
      </c>
      <c r="S60" s="176"/>
      <c r="T60" s="176"/>
      <c r="U60" s="174" t="s">
        <v>52</v>
      </c>
      <c r="V60" s="174"/>
      <c r="W60" s="174"/>
      <c r="X60" s="174" t="s">
        <v>53</v>
      </c>
      <c r="Y60" s="174"/>
      <c r="Z60" s="174"/>
      <c r="AA60" s="175" t="s">
        <v>54</v>
      </c>
      <c r="AB60" s="175"/>
    </row>
    <row r="61" spans="2:32" ht="13.35" customHeight="1">
      <c r="B61" s="231" t="s">
        <v>55</v>
      </c>
      <c r="C61" s="155" t="s">
        <v>56</v>
      </c>
      <c r="D61" s="233"/>
      <c r="E61" s="236" t="s">
        <v>57</v>
      </c>
      <c r="F61" s="237"/>
      <c r="G61" s="205" t="s">
        <v>58</v>
      </c>
      <c r="H61" s="205"/>
      <c r="I61" s="205" t="s">
        <v>59</v>
      </c>
      <c r="J61" s="240"/>
      <c r="K61" s="241" t="s">
        <v>44</v>
      </c>
      <c r="L61" s="242"/>
      <c r="M61" s="189" t="s">
        <v>46</v>
      </c>
      <c r="N61" s="190"/>
      <c r="O61" s="189" t="s">
        <v>60</v>
      </c>
      <c r="P61" s="229"/>
      <c r="R61" s="177" t="s">
        <v>61</v>
      </c>
      <c r="S61" s="177"/>
      <c r="T61" s="177"/>
      <c r="U61" s="178">
        <v>100</v>
      </c>
      <c r="V61" s="179"/>
      <c r="W61" s="180"/>
      <c r="X61" s="178">
        <v>30</v>
      </c>
      <c r="Y61" s="179"/>
      <c r="Z61" s="180"/>
      <c r="AA61" s="172">
        <f>IF(U61&lt;&gt;0, X61/U61, 0)</f>
        <v>0.3</v>
      </c>
      <c r="AB61" s="173"/>
    </row>
    <row r="62" spans="2:32" ht="13.35" customHeight="1" thickBot="1">
      <c r="B62" s="232"/>
      <c r="C62" s="234"/>
      <c r="D62" s="235"/>
      <c r="E62" s="238"/>
      <c r="F62" s="239"/>
      <c r="G62" s="245"/>
      <c r="H62" s="245"/>
      <c r="I62" s="205"/>
      <c r="J62" s="240"/>
      <c r="K62" s="243"/>
      <c r="L62" s="244"/>
      <c r="M62" s="191"/>
      <c r="N62" s="192"/>
      <c r="O62" s="191"/>
      <c r="P62" s="230"/>
      <c r="R62" s="177" t="s">
        <v>62</v>
      </c>
      <c r="S62" s="177"/>
      <c r="T62" s="177"/>
      <c r="U62" s="178">
        <v>50</v>
      </c>
      <c r="V62" s="179"/>
      <c r="W62" s="180"/>
      <c r="X62" s="178">
        <v>4</v>
      </c>
      <c r="Y62" s="179"/>
      <c r="Z62" s="180"/>
      <c r="AA62" s="172">
        <f>IF(U62&lt;&gt;0, X62/U62, 0)</f>
        <v>0.08</v>
      </c>
      <c r="AB62" s="173"/>
    </row>
    <row r="63" spans="2:32" ht="11.25" customHeight="1" thickBot="1">
      <c r="B63" s="5" t="s">
        <v>63</v>
      </c>
      <c r="C63" s="250">
        <v>100</v>
      </c>
      <c r="D63" s="251"/>
      <c r="E63" s="260" t="s">
        <v>264</v>
      </c>
      <c r="F63" s="261"/>
      <c r="G63" s="258">
        <f>IF(C63=0,0,K63/C63)</f>
        <v>10.8</v>
      </c>
      <c r="H63" s="259"/>
      <c r="I63" s="151"/>
      <c r="J63" s="152"/>
      <c r="K63" s="183">
        <f>M63+O63</f>
        <v>1080</v>
      </c>
      <c r="L63" s="184"/>
      <c r="M63" s="184">
        <v>1020</v>
      </c>
      <c r="N63" s="184"/>
      <c r="O63" s="184">
        <v>60</v>
      </c>
      <c r="P63" s="184"/>
    </row>
    <row r="64" spans="2:32" ht="12.95" customHeight="1" thickBot="1">
      <c r="B64" s="37" t="s">
        <v>65</v>
      </c>
      <c r="C64" s="250">
        <v>10</v>
      </c>
      <c r="D64" s="251"/>
      <c r="E64" s="345" t="s">
        <v>265</v>
      </c>
      <c r="F64" s="346"/>
      <c r="G64" s="258">
        <f>IF(C64=0,0,K64/C64)</f>
        <v>5.4</v>
      </c>
      <c r="H64" s="259"/>
      <c r="I64" s="38"/>
      <c r="J64" s="39"/>
      <c r="K64" s="183">
        <f t="shared" ref="K64:K71" si="13">M64+O64</f>
        <v>54</v>
      </c>
      <c r="L64" s="184"/>
      <c r="M64" s="187">
        <v>40</v>
      </c>
      <c r="N64" s="188"/>
      <c r="O64" s="187">
        <v>14</v>
      </c>
      <c r="P64" s="188"/>
    </row>
    <row r="65" spans="2:16" ht="12.95" customHeight="1" thickBot="1">
      <c r="B65" s="40" t="s">
        <v>67</v>
      </c>
      <c r="C65" s="254">
        <v>20</v>
      </c>
      <c r="D65" s="255"/>
      <c r="E65" s="347" t="s">
        <v>265</v>
      </c>
      <c r="F65" s="348"/>
      <c r="G65" s="246">
        <f>IF(C65=0,0,K65/C65)</f>
        <v>5.6</v>
      </c>
      <c r="H65" s="247"/>
      <c r="I65" s="41"/>
      <c r="J65" s="42"/>
      <c r="K65" s="269">
        <f t="shared" si="13"/>
        <v>112</v>
      </c>
      <c r="L65" s="270"/>
      <c r="M65" s="185">
        <v>96</v>
      </c>
      <c r="N65" s="186"/>
      <c r="O65" s="185">
        <v>16</v>
      </c>
      <c r="P65" s="186"/>
    </row>
    <row r="66" spans="2:16" ht="12.95" customHeight="1" thickTop="1" thickBot="1">
      <c r="B66" s="43" t="s">
        <v>68</v>
      </c>
      <c r="C66" s="44"/>
      <c r="D66" s="45"/>
      <c r="E66" s="256" t="s">
        <v>266</v>
      </c>
      <c r="F66" s="257"/>
      <c r="G66" s="284"/>
      <c r="H66" s="285"/>
      <c r="I66" s="294">
        <f>IF(C63=0,0,K66/C63)</f>
        <v>1.8</v>
      </c>
      <c r="J66" s="295"/>
      <c r="K66" s="263">
        <f t="shared" si="13"/>
        <v>180</v>
      </c>
      <c r="L66" s="264"/>
      <c r="M66" s="264">
        <v>152</v>
      </c>
      <c r="N66" s="264"/>
      <c r="O66" s="264">
        <v>28</v>
      </c>
      <c r="P66" s="264"/>
    </row>
    <row r="67" spans="2:16" ht="10.5" thickBot="1">
      <c r="B67" s="14" t="s">
        <v>70</v>
      </c>
      <c r="C67" s="46"/>
      <c r="D67" s="47"/>
      <c r="E67" s="260" t="s">
        <v>267</v>
      </c>
      <c r="F67" s="261"/>
      <c r="G67" s="290"/>
      <c r="H67" s="291"/>
      <c r="I67" s="292">
        <f>IF(C64=0,0,K67/C64)</f>
        <v>2.7</v>
      </c>
      <c r="J67" s="293"/>
      <c r="K67" s="183">
        <f t="shared" si="13"/>
        <v>27</v>
      </c>
      <c r="L67" s="184"/>
      <c r="M67" s="184">
        <v>23</v>
      </c>
      <c r="N67" s="184"/>
      <c r="O67" s="184">
        <v>4</v>
      </c>
      <c r="P67" s="184"/>
    </row>
    <row r="68" spans="2:16" ht="12.95" customHeight="1" thickBot="1">
      <c r="B68" s="48" t="s">
        <v>72</v>
      </c>
      <c r="C68" s="49"/>
      <c r="D68" s="50"/>
      <c r="E68" s="282" t="s">
        <v>268</v>
      </c>
      <c r="F68" s="283"/>
      <c r="G68" s="284"/>
      <c r="H68" s="285"/>
      <c r="I68" s="286">
        <f>IF(C65=0,0,K68/C65)</f>
        <v>3.5</v>
      </c>
      <c r="J68" s="287"/>
      <c r="K68" s="288">
        <f t="shared" si="13"/>
        <v>70</v>
      </c>
      <c r="L68" s="289"/>
      <c r="M68" s="289">
        <v>60</v>
      </c>
      <c r="N68" s="289"/>
      <c r="O68" s="289">
        <v>10</v>
      </c>
      <c r="P68" s="289"/>
    </row>
    <row r="69" spans="2:16" ht="12" customHeight="1" thickTop="1">
      <c r="B69" s="51" t="s">
        <v>74</v>
      </c>
      <c r="C69" s="52"/>
      <c r="D69" s="53"/>
      <c r="E69" s="296"/>
      <c r="F69" s="297"/>
      <c r="G69" s="305"/>
      <c r="H69" s="305"/>
      <c r="I69" s="298"/>
      <c r="J69" s="299"/>
      <c r="K69" s="306">
        <f t="shared" si="13"/>
        <v>166</v>
      </c>
      <c r="L69" s="304"/>
      <c r="M69" s="304">
        <v>142</v>
      </c>
      <c r="N69" s="304"/>
      <c r="O69" s="304">
        <v>24</v>
      </c>
      <c r="P69" s="304"/>
    </row>
    <row r="70" spans="2:16" ht="12.95" customHeight="1">
      <c r="B70" s="14" t="s">
        <v>75</v>
      </c>
      <c r="C70" s="54"/>
      <c r="D70" s="55"/>
      <c r="E70" s="296"/>
      <c r="F70" s="297"/>
      <c r="G70" s="281"/>
      <c r="H70" s="281"/>
      <c r="I70" s="298"/>
      <c r="J70" s="299"/>
      <c r="K70" s="183">
        <f t="shared" si="13"/>
        <v>27</v>
      </c>
      <c r="L70" s="184"/>
      <c r="M70" s="184">
        <v>20</v>
      </c>
      <c r="N70" s="184"/>
      <c r="O70" s="184">
        <v>7</v>
      </c>
      <c r="P70" s="184"/>
    </row>
    <row r="71" spans="2:16" ht="12.95" customHeight="1">
      <c r="B71" s="14" t="s">
        <v>76</v>
      </c>
      <c r="C71" s="54"/>
      <c r="D71" s="55"/>
      <c r="E71" s="296"/>
      <c r="F71" s="297"/>
      <c r="G71" s="281"/>
      <c r="H71" s="281"/>
      <c r="I71" s="298"/>
      <c r="J71" s="299"/>
      <c r="K71" s="183">
        <f t="shared" si="13"/>
        <v>68</v>
      </c>
      <c r="L71" s="184"/>
      <c r="M71" s="184">
        <v>60</v>
      </c>
      <c r="N71" s="184"/>
      <c r="O71" s="184">
        <v>8</v>
      </c>
      <c r="P71" s="184"/>
    </row>
    <row r="72" spans="2:16" ht="11.25" customHeight="1">
      <c r="M72" s="34"/>
      <c r="N72" s="34"/>
    </row>
    <row r="73" spans="2:16" ht="11.25" customHeight="1">
      <c r="M73" s="16"/>
    </row>
    <row r="74" spans="2:16" ht="12.95" customHeight="1">
      <c r="M74" s="149"/>
    </row>
  </sheetData>
  <mergeCells count="154">
    <mergeCell ref="W58:X58"/>
    <mergeCell ref="C55:D55"/>
    <mergeCell ref="E55:F55"/>
    <mergeCell ref="E56:F56"/>
    <mergeCell ref="I58:J58"/>
    <mergeCell ref="K56:L56"/>
    <mergeCell ref="B54:B55"/>
    <mergeCell ref="K54:L55"/>
    <mergeCell ref="R58:T58"/>
    <mergeCell ref="R55:T57"/>
    <mergeCell ref="I54:J55"/>
    <mergeCell ref="I56:J56"/>
    <mergeCell ref="G55:H55"/>
    <mergeCell ref="C54:H54"/>
    <mergeCell ref="G56:H56"/>
    <mergeCell ref="I57:J57"/>
    <mergeCell ref="C57:D57"/>
    <mergeCell ref="C58:D58"/>
    <mergeCell ref="G57:H57"/>
    <mergeCell ref="G58:H58"/>
    <mergeCell ref="E57:F57"/>
    <mergeCell ref="E58:F58"/>
    <mergeCell ref="C56:D56"/>
    <mergeCell ref="K57:L57"/>
    <mergeCell ref="K58:L58"/>
    <mergeCell ref="B61:B62"/>
    <mergeCell ref="C61:D62"/>
    <mergeCell ref="E61:F62"/>
    <mergeCell ref="I59:J59"/>
    <mergeCell ref="K59:L59"/>
    <mergeCell ref="I61:J62"/>
    <mergeCell ref="K61:L62"/>
    <mergeCell ref="G59:H59"/>
    <mergeCell ref="G61:H62"/>
    <mergeCell ref="R62:T62"/>
    <mergeCell ref="Y7:Z7"/>
    <mergeCell ref="AA7:AB7"/>
    <mergeCell ref="K7:L7"/>
    <mergeCell ref="M7:N7"/>
    <mergeCell ref="O7:P7"/>
    <mergeCell ref="Q7:R7"/>
    <mergeCell ref="X61:Z61"/>
    <mergeCell ref="AA61:AB61"/>
    <mergeCell ref="R60:T60"/>
    <mergeCell ref="AA55:AF55"/>
    <mergeCell ref="AC56:AD57"/>
    <mergeCell ref="AE56:AF57"/>
    <mergeCell ref="AC58:AD58"/>
    <mergeCell ref="AE58:AF58"/>
    <mergeCell ref="K51:L51"/>
    <mergeCell ref="K52:L52"/>
    <mergeCell ref="AA58:AB58"/>
    <mergeCell ref="AA56:AB57"/>
    <mergeCell ref="Y56:Z57"/>
    <mergeCell ref="Y58:Z58"/>
    <mergeCell ref="M54:N55"/>
    <mergeCell ref="U53:W53"/>
    <mergeCell ref="U55:Z55"/>
    <mergeCell ref="G64:H64"/>
    <mergeCell ref="K63:L63"/>
    <mergeCell ref="K64:L64"/>
    <mergeCell ref="G63:H63"/>
    <mergeCell ref="X52:Z52"/>
    <mergeCell ref="AA52:AC52"/>
    <mergeCell ref="U52:W52"/>
    <mergeCell ref="R52:T52"/>
    <mergeCell ref="R53:T53"/>
    <mergeCell ref="X53:Z53"/>
    <mergeCell ref="U56:V57"/>
    <mergeCell ref="W56:X57"/>
    <mergeCell ref="AA53:AC53"/>
    <mergeCell ref="U58:V58"/>
    <mergeCell ref="M57:N57"/>
    <mergeCell ref="M58:N58"/>
    <mergeCell ref="AA62:AB62"/>
    <mergeCell ref="U60:W60"/>
    <mergeCell ref="X60:Z60"/>
    <mergeCell ref="AA60:AB60"/>
    <mergeCell ref="R61:T61"/>
    <mergeCell ref="U61:W61"/>
    <mergeCell ref="O61:P62"/>
    <mergeCell ref="M61:N62"/>
    <mergeCell ref="E51:F51"/>
    <mergeCell ref="I51:J51"/>
    <mergeCell ref="S7:T7"/>
    <mergeCell ref="U7:V7"/>
    <mergeCell ref="W7:X7"/>
    <mergeCell ref="C65:D65"/>
    <mergeCell ref="E66:F66"/>
    <mergeCell ref="G66:H66"/>
    <mergeCell ref="I66:J66"/>
    <mergeCell ref="G65:H65"/>
    <mergeCell ref="E65:F65"/>
    <mergeCell ref="C63:D63"/>
    <mergeCell ref="C7:D7"/>
    <mergeCell ref="E7:F7"/>
    <mergeCell ref="G7:H7"/>
    <mergeCell ref="I7:J7"/>
    <mergeCell ref="K65:L65"/>
    <mergeCell ref="C51:D51"/>
    <mergeCell ref="C52:D52"/>
    <mergeCell ref="I52:J52"/>
    <mergeCell ref="E52:F52"/>
    <mergeCell ref="G51:H51"/>
    <mergeCell ref="G52:H52"/>
    <mergeCell ref="M56:N56"/>
    <mergeCell ref="G68:H68"/>
    <mergeCell ref="I68:J68"/>
    <mergeCell ref="K68:L68"/>
    <mergeCell ref="M68:N68"/>
    <mergeCell ref="O68:P68"/>
    <mergeCell ref="C64:D64"/>
    <mergeCell ref="C59:D59"/>
    <mergeCell ref="E59:F59"/>
    <mergeCell ref="E64:F64"/>
    <mergeCell ref="O66:P66"/>
    <mergeCell ref="E67:F67"/>
    <mergeCell ref="G67:H67"/>
    <mergeCell ref="I67:J67"/>
    <mergeCell ref="K67:L67"/>
    <mergeCell ref="M67:N67"/>
    <mergeCell ref="M59:N59"/>
    <mergeCell ref="O65:P65"/>
    <mergeCell ref="M63:N63"/>
    <mergeCell ref="M64:N64"/>
    <mergeCell ref="M65:N65"/>
    <mergeCell ref="O63:P63"/>
    <mergeCell ref="O64:P64"/>
    <mergeCell ref="I63:J63"/>
    <mergeCell ref="E63:F63"/>
    <mergeCell ref="O71:P71"/>
    <mergeCell ref="O70:P70"/>
    <mergeCell ref="U62:W62"/>
    <mergeCell ref="X62:Z62"/>
    <mergeCell ref="E70:F70"/>
    <mergeCell ref="G70:H70"/>
    <mergeCell ref="E71:F71"/>
    <mergeCell ref="G71:H71"/>
    <mergeCell ref="I71:J71"/>
    <mergeCell ref="K71:L71"/>
    <mergeCell ref="I70:J70"/>
    <mergeCell ref="K70:L70"/>
    <mergeCell ref="M70:N70"/>
    <mergeCell ref="M71:N71"/>
    <mergeCell ref="E69:F69"/>
    <mergeCell ref="G69:H69"/>
    <mergeCell ref="I69:J69"/>
    <mergeCell ref="K69:L69"/>
    <mergeCell ref="M69:N69"/>
    <mergeCell ref="O69:P69"/>
    <mergeCell ref="O67:P67"/>
    <mergeCell ref="K66:L66"/>
    <mergeCell ref="M66:N66"/>
    <mergeCell ref="E68:F68"/>
  </mergeCells>
  <phoneticPr fontId="3" type="noConversion"/>
  <printOptions horizontalCentered="1" verticalCentered="1"/>
  <pageMargins left="7.874015748031496E-2" right="7.874015748031496E-2" top="0" bottom="0" header="0" footer="0"/>
  <pageSetup paperSize="9" scale="61" orientation="landscape" r:id="rId1"/>
  <headerFooter alignWithMargins="0">
    <oddHeader>&amp;L&amp;"Calibri"&amp;13&amp;K000000 •• PROTECTED&amp;1#_x000D_</oddHeader>
    <oddFooter>&amp;L&amp;"Times New Roman,ตัวหนาเอียง"&amp;10File Name &amp;F, Save on &amp;D&amp;R&amp;"Times New Roman,ตัวหนาเอียง"Sheet &amp;A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B41:AF47"/>
  <sheetViews>
    <sheetView view="pageBreakPreview" zoomScaleNormal="100" zoomScaleSheetLayoutView="100" workbookViewId="0">
      <selection activeCell="AA44" sqref="AA44"/>
    </sheetView>
  </sheetViews>
  <sheetFormatPr defaultRowHeight="12.75"/>
  <cols>
    <col min="1" max="1" width="2" customWidth="1"/>
    <col min="2" max="2" width="20.1328125" customWidth="1"/>
    <col min="3" max="32" width="5.73046875" customWidth="1"/>
    <col min="33" max="33" width="4.3984375" customWidth="1"/>
  </cols>
  <sheetData>
    <row r="41" spans="2:32">
      <c r="C41" s="57">
        <f>'Example_Weekly Report'!C15</f>
        <v>38516</v>
      </c>
      <c r="D41" s="57">
        <f>'Example_Weekly Report'!D15</f>
        <v>38523</v>
      </c>
      <c r="E41" s="57">
        <f>'Example_Weekly Report'!E15</f>
        <v>38530</v>
      </c>
      <c r="F41" s="57">
        <f>'Example_Weekly Report'!F15</f>
        <v>38537</v>
      </c>
      <c r="G41" s="57">
        <f>'Example_Weekly Report'!G15</f>
        <v>38544</v>
      </c>
      <c r="H41" s="57">
        <f>'Example_Weekly Report'!H15</f>
        <v>38551</v>
      </c>
      <c r="I41" s="57">
        <f>'Example_Weekly Report'!I15</f>
        <v>38558</v>
      </c>
      <c r="J41" s="57">
        <f>'Example_Weekly Report'!J15</f>
        <v>38565</v>
      </c>
      <c r="K41" s="57">
        <f>'Example_Weekly Report'!K15</f>
        <v>38572</v>
      </c>
      <c r="L41" s="57">
        <f>'Example_Weekly Report'!L15</f>
        <v>38579</v>
      </c>
      <c r="M41" s="57">
        <f>'Example_Weekly Report'!M15</f>
        <v>38586</v>
      </c>
      <c r="N41" s="57">
        <f>'Example_Weekly Report'!N15</f>
        <v>38593</v>
      </c>
      <c r="O41" s="57">
        <f>'Example_Weekly Report'!O15</f>
        <v>38600</v>
      </c>
      <c r="P41" s="57">
        <f>'Example_Weekly Report'!P15</f>
        <v>38607</v>
      </c>
      <c r="Q41" s="57">
        <f>'Example_Weekly Report'!Q15</f>
        <v>38614</v>
      </c>
      <c r="R41" s="57">
        <f>'Example_Weekly Report'!R15</f>
        <v>38621</v>
      </c>
      <c r="S41" s="57">
        <f>'Example_Weekly Report'!S15</f>
        <v>38628</v>
      </c>
      <c r="T41" s="57">
        <f>'Example_Weekly Report'!T15</f>
        <v>38635</v>
      </c>
      <c r="U41" s="57">
        <f>'Example_Weekly Report'!U15</f>
        <v>38642</v>
      </c>
      <c r="V41" s="57">
        <f>'Example_Weekly Report'!V15</f>
        <v>38649</v>
      </c>
      <c r="W41" s="57">
        <f>'Example_Weekly Report'!W15</f>
        <v>38656</v>
      </c>
      <c r="X41" s="57">
        <f>'Example_Weekly Report'!X15</f>
        <v>38663</v>
      </c>
      <c r="Y41" s="57">
        <f>'Example_Weekly Report'!Y15</f>
        <v>38670</v>
      </c>
      <c r="Z41" s="57">
        <f>'Example_Weekly Report'!Z15</f>
        <v>38677</v>
      </c>
      <c r="AA41" s="57">
        <f>'Example_Weekly Report'!AA15</f>
        <v>38684</v>
      </c>
      <c r="AB41" s="57">
        <f>'Example_Weekly Report'!AB15</f>
        <v>38691</v>
      </c>
      <c r="AC41" s="57">
        <f>'Example_Weekly Report'!AC15</f>
        <v>38698</v>
      </c>
      <c r="AD41" s="57">
        <f>'Example_Weekly Report'!AD15</f>
        <v>38705</v>
      </c>
      <c r="AE41" s="57">
        <f>'Example_Weekly Report'!AE15</f>
        <v>38712</v>
      </c>
      <c r="AF41" s="57">
        <f>'Example_Weekly Report'!AF15</f>
        <v>38719</v>
      </c>
    </row>
    <row r="42" spans="2:32">
      <c r="B42" s="58" t="s">
        <v>77</v>
      </c>
      <c r="C42" s="59">
        <f>'Example_Weekly Report'!C42</f>
        <v>1416</v>
      </c>
      <c r="D42" s="59">
        <f>'Example_Weekly Report'!D42</f>
        <v>1416</v>
      </c>
      <c r="E42" s="59">
        <f>'Example_Weekly Report'!E42</f>
        <v>1416</v>
      </c>
      <c r="F42" s="59">
        <f>'Example_Weekly Report'!F42</f>
        <v>1416</v>
      </c>
      <c r="G42" s="59">
        <f>'Example_Weekly Report'!G42</f>
        <v>1416</v>
      </c>
      <c r="H42" s="59">
        <f>'Example_Weekly Report'!H42</f>
        <v>1416</v>
      </c>
      <c r="I42" s="59">
        <f>'Example_Weekly Report'!I42</f>
        <v>1400</v>
      </c>
      <c r="J42" s="59">
        <f>'Example_Weekly Report'!J42</f>
        <v>1375</v>
      </c>
      <c r="K42" s="59">
        <f>'Example_Weekly Report'!K42</f>
        <v>1345</v>
      </c>
      <c r="L42" s="59">
        <f>'Example_Weekly Report'!L42</f>
        <v>1215</v>
      </c>
      <c r="M42" s="59">
        <f>'Example_Weekly Report'!M42</f>
        <v>1090</v>
      </c>
      <c r="N42" s="59">
        <f>'Example_Weekly Report'!N42</f>
        <v>930</v>
      </c>
      <c r="O42" s="59">
        <f>'Example_Weekly Report'!O42</f>
        <v>680</v>
      </c>
      <c r="P42" s="59">
        <f>'Example_Weekly Report'!P42</f>
        <v>560</v>
      </c>
      <c r="Q42" s="59">
        <f>'Example_Weekly Report'!Q42</f>
        <v>440</v>
      </c>
      <c r="R42" s="59">
        <f>'Example_Weekly Report'!R42</f>
        <v>260</v>
      </c>
      <c r="S42" s="59">
        <f>'Example_Weekly Report'!S42</f>
        <v>150</v>
      </c>
      <c r="T42" s="59">
        <f>'Example_Weekly Report'!T42</f>
        <v>0</v>
      </c>
      <c r="U42" s="59">
        <f>'Example_Weekly Report'!U42</f>
        <v>0</v>
      </c>
      <c r="V42" s="59">
        <f>'Example_Weekly Report'!V42</f>
        <v>0</v>
      </c>
      <c r="W42" s="59">
        <f>'Example_Weekly Report'!W42</f>
        <v>0</v>
      </c>
      <c r="X42" s="59">
        <f>'Example_Weekly Report'!X42</f>
        <v>0</v>
      </c>
      <c r="Y42" s="59">
        <f>'Example_Weekly Report'!Y42</f>
        <v>0</v>
      </c>
      <c r="Z42" s="59">
        <f>'Example_Weekly Report'!Z42</f>
        <v>0</v>
      </c>
      <c r="AA42" s="59">
        <f>'Example_Weekly Report'!AA42</f>
        <v>0</v>
      </c>
      <c r="AB42" s="59">
        <f>'Example_Weekly Report'!AB42</f>
        <v>0</v>
      </c>
      <c r="AC42" s="59">
        <f>'Example_Weekly Report'!AC42</f>
        <v>0</v>
      </c>
      <c r="AD42" s="59">
        <f>'Example_Weekly Report'!AD42</f>
        <v>0</v>
      </c>
      <c r="AE42" s="59">
        <f>'Example_Weekly Report'!AE42</f>
        <v>0</v>
      </c>
      <c r="AF42" s="59">
        <f>'Example_Weekly Report'!AF42</f>
        <v>0</v>
      </c>
    </row>
    <row r="43" spans="2:32">
      <c r="B43" s="60" t="s">
        <v>78</v>
      </c>
      <c r="C43" s="59">
        <f>'Example_Weekly Report'!C43</f>
        <v>1416</v>
      </c>
      <c r="D43" s="59">
        <f>'Example_Weekly Report'!D43</f>
        <v>1416</v>
      </c>
      <c r="E43" s="59">
        <f>'Example_Weekly Report'!E43</f>
        <v>1416</v>
      </c>
      <c r="F43" s="59">
        <f>'Example_Weekly Report'!F43</f>
        <v>1416</v>
      </c>
      <c r="G43" s="59">
        <f>'Example_Weekly Report'!G43</f>
        <v>1416</v>
      </c>
      <c r="H43" s="59">
        <f>'Example_Weekly Report'!H43</f>
        <v>1416</v>
      </c>
      <c r="I43" s="59">
        <f>'Example_Weekly Report'!I43</f>
        <v>1400</v>
      </c>
      <c r="J43" s="59">
        <f>'Example_Weekly Report'!J43</f>
        <v>1375</v>
      </c>
      <c r="K43" s="59">
        <f>'Example_Weekly Report'!K43</f>
        <v>1345</v>
      </c>
      <c r="L43" s="59">
        <f>'Example_Weekly Report'!L43</f>
        <v>1215</v>
      </c>
      <c r="M43" s="59">
        <f>'Example_Weekly Report'!M43</f>
        <v>1090</v>
      </c>
      <c r="N43" s="59">
        <f>'Example_Weekly Report'!N43</f>
        <v>930</v>
      </c>
      <c r="O43" s="59">
        <f>'Example_Weekly Report'!O43</f>
        <v>680</v>
      </c>
      <c r="P43" s="59">
        <f>'Example_Weekly Report'!P43</f>
        <v>560</v>
      </c>
      <c r="Q43" s="59">
        <f>'Example_Weekly Report'!Q43</f>
        <v>440</v>
      </c>
      <c r="R43" s="59">
        <f>'Example_Weekly Report'!R43</f>
        <v>260</v>
      </c>
      <c r="S43" s="59">
        <f>'Example_Weekly Report'!S43</f>
        <v>170</v>
      </c>
      <c r="T43" s="59">
        <f>'Example_Weekly Report'!T43</f>
        <v>170</v>
      </c>
      <c r="U43" s="59">
        <f>'Example_Weekly Report'!U43</f>
        <v>170</v>
      </c>
      <c r="V43" s="59">
        <f>'Example_Weekly Report'!V43</f>
        <v>170</v>
      </c>
      <c r="W43" s="59">
        <f>'Example_Weekly Report'!W43</f>
        <v>170</v>
      </c>
      <c r="X43" s="59">
        <f>'Example_Weekly Report'!X43</f>
        <v>170</v>
      </c>
      <c r="Y43" s="59">
        <f>'Example_Weekly Report'!Y43</f>
        <v>170</v>
      </c>
      <c r="Z43" s="59">
        <f>'Example_Weekly Report'!Z43</f>
        <v>170</v>
      </c>
      <c r="AA43" s="59">
        <f>'Example_Weekly Report'!AA43</f>
        <v>170</v>
      </c>
      <c r="AB43" s="59">
        <f>'Example_Weekly Report'!AB43</f>
        <v>170</v>
      </c>
      <c r="AC43" s="59">
        <f>'Example_Weekly Report'!AC43</f>
        <v>170</v>
      </c>
      <c r="AD43" s="59">
        <f>'Example_Weekly Report'!AD43</f>
        <v>170</v>
      </c>
      <c r="AE43" s="59">
        <f>'Example_Weekly Report'!AE43</f>
        <v>170</v>
      </c>
      <c r="AF43" s="59">
        <f>'Example_Weekly Report'!AF43</f>
        <v>170</v>
      </c>
    </row>
    <row r="44" spans="2:32" s="7" customFormat="1" ht="12.95" customHeight="1">
      <c r="B44" s="61" t="s">
        <v>79</v>
      </c>
      <c r="C44" s="10">
        <f>'Example_Weekly Report'!C41</f>
        <v>0</v>
      </c>
      <c r="D44" s="10">
        <f>'Example_Weekly Report'!D41</f>
        <v>0</v>
      </c>
      <c r="E44" s="10">
        <f>'Example_Weekly Report'!E41</f>
        <v>0</v>
      </c>
      <c r="F44" s="10">
        <f>'Example_Weekly Report'!F41</f>
        <v>0</v>
      </c>
      <c r="G44" s="10">
        <f>'Example_Weekly Report'!G41</f>
        <v>0</v>
      </c>
      <c r="H44" s="10">
        <f>'Example_Weekly Report'!H41</f>
        <v>0</v>
      </c>
      <c r="I44" s="10">
        <f>'Example_Weekly Report'!I41</f>
        <v>16</v>
      </c>
      <c r="J44" s="10">
        <f>'Example_Weekly Report'!J41</f>
        <v>41</v>
      </c>
      <c r="K44" s="10">
        <f>'Example_Weekly Report'!K41</f>
        <v>71</v>
      </c>
      <c r="L44" s="10">
        <f>'Example_Weekly Report'!L41</f>
        <v>201</v>
      </c>
      <c r="M44" s="10">
        <f>'Example_Weekly Report'!M41</f>
        <v>326</v>
      </c>
      <c r="N44" s="10">
        <f>'Example_Weekly Report'!N41</f>
        <v>486</v>
      </c>
      <c r="O44" s="10">
        <f>'Example_Weekly Report'!O41</f>
        <v>736</v>
      </c>
      <c r="P44" s="10">
        <f>'Example_Weekly Report'!P41</f>
        <v>856</v>
      </c>
      <c r="Q44" s="10">
        <f>'Example_Weekly Report'!Q41</f>
        <v>976</v>
      </c>
      <c r="R44" s="10">
        <f>'Example_Weekly Report'!R41</f>
        <v>1156</v>
      </c>
      <c r="S44" s="10">
        <f>'Example_Weekly Report'!S41</f>
        <v>1246</v>
      </c>
      <c r="T44" s="10">
        <f>'Example_Weekly Report'!T41</f>
        <v>1246</v>
      </c>
      <c r="U44" s="10">
        <f>'Example_Weekly Report'!U41</f>
        <v>1246</v>
      </c>
      <c r="V44" s="10">
        <f>'Example_Weekly Report'!V41</f>
        <v>1246</v>
      </c>
      <c r="W44" s="10">
        <f>'Example_Weekly Report'!W41</f>
        <v>1246</v>
      </c>
      <c r="X44" s="10">
        <f>'Example_Weekly Report'!X41</f>
        <v>1246</v>
      </c>
      <c r="Y44" s="10">
        <f>'Example_Weekly Report'!Y41</f>
        <v>1246</v>
      </c>
      <c r="Z44" s="10">
        <f>'Example_Weekly Report'!Z41</f>
        <v>1246</v>
      </c>
      <c r="AA44" s="10">
        <f>'Example_Weekly Report'!AA41</f>
        <v>1246</v>
      </c>
      <c r="AB44" s="10">
        <f>'Example_Weekly Report'!AB41</f>
        <v>1246</v>
      </c>
      <c r="AC44" s="10">
        <f>'Example_Weekly Report'!AC41</f>
        <v>1246</v>
      </c>
      <c r="AD44" s="10">
        <f>'Example_Weekly Report'!AD41</f>
        <v>1246</v>
      </c>
      <c r="AE44" s="10">
        <f>'Example_Weekly Report'!AE41</f>
        <v>1246</v>
      </c>
      <c r="AF44" s="10">
        <f>'Example_Weekly Report'!AF41</f>
        <v>1246</v>
      </c>
    </row>
    <row r="45" spans="2:32">
      <c r="B45" s="62" t="s">
        <v>80</v>
      </c>
      <c r="C45" s="56">
        <f>IF('Example_Weekly Report'!$K$52=0, 0, CEILING(2.3 * 'Example_Weekly Report'!$I$52 * C44 / 'Example_Weekly Report'!$K$52, 1))</f>
        <v>0</v>
      </c>
      <c r="D45" s="56">
        <f>IF('Example_Weekly Report'!$K$52=0, 0, CEILING(2.3 * 'Example_Weekly Report'!$I$52 * D44 / 'Example_Weekly Report'!$K$52, 1))</f>
        <v>0</v>
      </c>
      <c r="E45" s="56">
        <f>IF('Example_Weekly Report'!$K$52=0, 0, CEILING(2.3 * 'Example_Weekly Report'!$I$52 * E44 / 'Example_Weekly Report'!$K$52, 1))</f>
        <v>0</v>
      </c>
      <c r="F45" s="56">
        <f>IF('Example_Weekly Report'!$K$52=0, 0, CEILING(2.3 * 'Example_Weekly Report'!$I$52 * F44 / 'Example_Weekly Report'!$K$52, 1))</f>
        <v>0</v>
      </c>
      <c r="G45" s="56">
        <f>IF('Example_Weekly Report'!$K$52=0, 0, CEILING(2.3 * 'Example_Weekly Report'!$I$52 * G44 / 'Example_Weekly Report'!$K$52, 1))</f>
        <v>0</v>
      </c>
      <c r="H45" s="56">
        <f>IF('Example_Weekly Report'!$K$52=0, 0, CEILING(2.3 * 'Example_Weekly Report'!$I$52 * H44 / 'Example_Weekly Report'!$K$52, 1))</f>
        <v>0</v>
      </c>
      <c r="I45" s="56">
        <f>IF('Example_Weekly Report'!$K$52=0, 0, CEILING(2.3 * 'Example_Weekly Report'!$I$52 * I44 / 'Example_Weekly Report'!$K$52, 1))</f>
        <v>4</v>
      </c>
      <c r="J45" s="56">
        <f>IF('Example_Weekly Report'!$K$52=0, 0, CEILING(2.3 * 'Example_Weekly Report'!$I$52 * J44 / 'Example_Weekly Report'!$K$52, 1))</f>
        <v>9</v>
      </c>
      <c r="K45" s="56">
        <f>IF('Example_Weekly Report'!$K$52=0, 0, CEILING(2.3 * 'Example_Weekly Report'!$I$52 * K44 / 'Example_Weekly Report'!$K$52, 1))</f>
        <v>15</v>
      </c>
      <c r="L45" s="56">
        <f>IF('Example_Weekly Report'!$K$52=0, 0, CEILING(2.3 * 'Example_Weekly Report'!$I$52 * L44 / 'Example_Weekly Report'!$K$52, 1))</f>
        <v>43</v>
      </c>
      <c r="M45" s="56">
        <f>IF('Example_Weekly Report'!$K$52=0, 0, CEILING(2.3 * 'Example_Weekly Report'!$I$52 * M44 / 'Example_Weekly Report'!$K$52, 1))</f>
        <v>69</v>
      </c>
      <c r="N45" s="56">
        <f>IF('Example_Weekly Report'!$K$52=0, 0, CEILING(2.3 * 'Example_Weekly Report'!$I$52 * N44 / 'Example_Weekly Report'!$K$52, 1))</f>
        <v>103</v>
      </c>
      <c r="O45" s="56">
        <f>IF('Example_Weekly Report'!$K$52=0, 0, CEILING(2.3 * 'Example_Weekly Report'!$I$52 * O44 / 'Example_Weekly Report'!$K$52, 1))</f>
        <v>156</v>
      </c>
      <c r="P45" s="56">
        <f>IF('Example_Weekly Report'!$K$52=0, 0, CEILING(2.3 * 'Example_Weekly Report'!$I$52 * P44 / 'Example_Weekly Report'!$K$52, 1))</f>
        <v>181</v>
      </c>
      <c r="Q45" s="56">
        <f>IF('Example_Weekly Report'!$K$52=0, 0, CEILING(2.3 * 'Example_Weekly Report'!$I$52 * Q44 / 'Example_Weekly Report'!$K$52, 1))</f>
        <v>207</v>
      </c>
      <c r="R45" s="56">
        <f>IF('Example_Weekly Report'!$K$52=0, 0, CEILING(2.3 * 'Example_Weekly Report'!$I$52 * R44 / 'Example_Weekly Report'!$K$52, 1))</f>
        <v>245</v>
      </c>
      <c r="S45" s="56">
        <f>IF('Example_Weekly Report'!$K$52=0, 0, CEILING(2.3 * 'Example_Weekly Report'!$I$52 * S44 / 'Example_Weekly Report'!$K$52, 1))</f>
        <v>264</v>
      </c>
      <c r="T45" s="56">
        <f>IF('Example_Weekly Report'!$K$52=0, 0, CEILING(2.3 * 'Example_Weekly Report'!$I$52 * T44 / 'Example_Weekly Report'!$K$52, 1))</f>
        <v>264</v>
      </c>
      <c r="U45" s="56">
        <f>IF('Example_Weekly Report'!$K$52=0, 0, CEILING(2.3 * 'Example_Weekly Report'!$I$52 * U44 / 'Example_Weekly Report'!$K$52, 1))</f>
        <v>264</v>
      </c>
      <c r="V45" s="56">
        <f>IF('Example_Weekly Report'!$K$52=0, 0, CEILING(2.3 * 'Example_Weekly Report'!$I$52 * V44 / 'Example_Weekly Report'!$K$52, 1))</f>
        <v>264</v>
      </c>
      <c r="W45" s="56">
        <f>IF('Example_Weekly Report'!$K$52=0, 0, CEILING(2.3 * 'Example_Weekly Report'!$I$52 * W44 / 'Example_Weekly Report'!$K$52, 1))</f>
        <v>264</v>
      </c>
      <c r="X45" s="56">
        <f>IF('Example_Weekly Report'!$K$52=0, 0, CEILING(2.3 * 'Example_Weekly Report'!$I$52 * X44 / 'Example_Weekly Report'!$K$52, 1))</f>
        <v>264</v>
      </c>
      <c r="Y45" s="56">
        <f>IF('Example_Weekly Report'!$K$52=0, 0, CEILING(2.3 * 'Example_Weekly Report'!$I$52 * Y44 / 'Example_Weekly Report'!$K$52, 1))</f>
        <v>264</v>
      </c>
      <c r="Z45" s="56">
        <f>IF('Example_Weekly Report'!$K$52=0, 0, CEILING(2.3 * 'Example_Weekly Report'!$I$52 * Z44 / 'Example_Weekly Report'!$K$52, 1))</f>
        <v>264</v>
      </c>
      <c r="AA45" s="56">
        <f>IF('Example_Weekly Report'!$K$52=0, 0, CEILING(2.3 * 'Example_Weekly Report'!$I$52 * AA44 / 'Example_Weekly Report'!$K$52, 1))</f>
        <v>264</v>
      </c>
      <c r="AB45" s="56">
        <f>IF('Example_Weekly Report'!$K$52=0, 0, CEILING(2.3 * 'Example_Weekly Report'!$I$52 * AB44 / 'Example_Weekly Report'!$K$52, 1))</f>
        <v>264</v>
      </c>
      <c r="AC45" s="56">
        <f>IF('Example_Weekly Report'!$K$52=0, 0, CEILING(2.3 * 'Example_Weekly Report'!$I$52 * AC44 / 'Example_Weekly Report'!$K$52, 1))</f>
        <v>264</v>
      </c>
      <c r="AD45" s="56">
        <f>IF('Example_Weekly Report'!$K$52=0, 0, CEILING(2.3 * 'Example_Weekly Report'!$I$52 * AD44 / 'Example_Weekly Report'!$K$52, 1))</f>
        <v>264</v>
      </c>
      <c r="AE45" s="56">
        <f>IF('Example_Weekly Report'!$K$52=0, 0, CEILING(2.3 * 'Example_Weekly Report'!$I$52 * AE44 / 'Example_Weekly Report'!$K$52, 1))</f>
        <v>264</v>
      </c>
      <c r="AF45" s="56">
        <f>IF('Example_Weekly Report'!$K$52=0, 0, CEILING(2.3 * 'Example_Weekly Report'!$I$52 * AF44 / 'Example_Weekly Report'!$K$52, 1))</f>
        <v>264</v>
      </c>
    </row>
    <row r="46" spans="2:32">
      <c r="B46" s="62" t="s">
        <v>81</v>
      </c>
      <c r="C46" s="56">
        <f>'Example_Weekly Report'!C46</f>
        <v>0</v>
      </c>
      <c r="D46" s="56">
        <f>'Example_Weekly Report'!D46</f>
        <v>0</v>
      </c>
      <c r="E46" s="56">
        <f>'Example_Weekly Report'!E46</f>
        <v>0</v>
      </c>
      <c r="F46" s="56">
        <f>'Example_Weekly Report'!F46</f>
        <v>0</v>
      </c>
      <c r="G46" s="56">
        <f>'Example_Weekly Report'!G46</f>
        <v>0</v>
      </c>
      <c r="H46" s="56">
        <f>'Example_Weekly Report'!H46</f>
        <v>0</v>
      </c>
      <c r="I46" s="56">
        <f>'Example_Weekly Report'!I46</f>
        <v>0</v>
      </c>
      <c r="J46" s="56">
        <f>'Example_Weekly Report'!J46</f>
        <v>1</v>
      </c>
      <c r="K46" s="56">
        <f>'Example_Weekly Report'!K46</f>
        <v>10</v>
      </c>
      <c r="L46" s="56">
        <f>'Example_Weekly Report'!L46</f>
        <v>23</v>
      </c>
      <c r="M46" s="56">
        <f>'Example_Weekly Report'!M46</f>
        <v>48</v>
      </c>
      <c r="N46" s="56">
        <f>'Example_Weekly Report'!N46</f>
        <v>79</v>
      </c>
      <c r="O46" s="56">
        <f>'Example_Weekly Report'!O46</f>
        <v>117</v>
      </c>
      <c r="P46" s="56">
        <f>'Example_Weekly Report'!P46</f>
        <v>160</v>
      </c>
      <c r="Q46" s="56">
        <f>'Example_Weekly Report'!Q46</f>
        <v>180</v>
      </c>
      <c r="R46" s="56">
        <f>'Example_Weekly Report'!R46</f>
        <v>235</v>
      </c>
      <c r="S46" s="56">
        <f>'Example_Weekly Report'!S46</f>
        <v>277</v>
      </c>
      <c r="T46" s="56">
        <f>'Example_Weekly Report'!T46</f>
        <v>277</v>
      </c>
      <c r="U46" s="56">
        <f>'Example_Weekly Report'!U46</f>
        <v>277</v>
      </c>
      <c r="V46" s="56">
        <f>'Example_Weekly Report'!V46</f>
        <v>277</v>
      </c>
      <c r="W46" s="56">
        <f>'Example_Weekly Report'!W46</f>
        <v>277</v>
      </c>
      <c r="X46" s="56">
        <f>'Example_Weekly Report'!X46</f>
        <v>277</v>
      </c>
      <c r="Y46" s="56">
        <f>'Example_Weekly Report'!Y46</f>
        <v>277</v>
      </c>
      <c r="Z46" s="56">
        <f>'Example_Weekly Report'!Z46</f>
        <v>277</v>
      </c>
      <c r="AA46" s="56">
        <f>'Example_Weekly Report'!AA46</f>
        <v>277</v>
      </c>
      <c r="AB46" s="56">
        <f>'Example_Weekly Report'!AB46</f>
        <v>277</v>
      </c>
      <c r="AC46" s="56">
        <f>'Example_Weekly Report'!AC46</f>
        <v>277</v>
      </c>
      <c r="AD46" s="56">
        <f>'Example_Weekly Report'!AD46</f>
        <v>277</v>
      </c>
      <c r="AE46" s="56">
        <f>'Example_Weekly Report'!AE46</f>
        <v>277</v>
      </c>
      <c r="AF46" s="56">
        <f>'Example_Weekly Report'!AF46</f>
        <v>277</v>
      </c>
    </row>
    <row r="47" spans="2:32">
      <c r="B47" s="62" t="s">
        <v>82</v>
      </c>
      <c r="C47" s="56">
        <f>'Example_Weekly Report'!C47</f>
        <v>0</v>
      </c>
      <c r="D47" s="56">
        <f>'Example_Weekly Report'!D47</f>
        <v>0</v>
      </c>
      <c r="E47" s="56">
        <f>'Example_Weekly Report'!E47</f>
        <v>0</v>
      </c>
      <c r="F47" s="56">
        <f>'Example_Weekly Report'!F47</f>
        <v>0</v>
      </c>
      <c r="G47" s="56">
        <f>'Example_Weekly Report'!G47</f>
        <v>0</v>
      </c>
      <c r="H47" s="56">
        <f>'Example_Weekly Report'!H47</f>
        <v>0</v>
      </c>
      <c r="I47" s="56">
        <f>'Example_Weekly Report'!I47</f>
        <v>0</v>
      </c>
      <c r="J47" s="56">
        <f>'Example_Weekly Report'!J47</f>
        <v>1</v>
      </c>
      <c r="K47" s="56">
        <f>'Example_Weekly Report'!K47</f>
        <v>9</v>
      </c>
      <c r="L47" s="56">
        <f>'Example_Weekly Report'!L47</f>
        <v>19</v>
      </c>
      <c r="M47" s="56">
        <f>'Example_Weekly Report'!M47</f>
        <v>45</v>
      </c>
      <c r="N47" s="56">
        <f>'Example_Weekly Report'!N47</f>
        <v>68</v>
      </c>
      <c r="O47" s="56">
        <f>'Example_Weekly Report'!O47</f>
        <v>76</v>
      </c>
      <c r="P47" s="56">
        <f>'Example_Weekly Report'!P47</f>
        <v>147</v>
      </c>
      <c r="Q47" s="56">
        <f>'Example_Weekly Report'!Q47</f>
        <v>176</v>
      </c>
      <c r="R47" s="56">
        <f>'Example_Weekly Report'!R47</f>
        <v>222</v>
      </c>
      <c r="S47" s="56">
        <f>'Example_Weekly Report'!S47</f>
        <v>261</v>
      </c>
      <c r="T47" s="56">
        <f>'Example_Weekly Report'!T47</f>
        <v>261</v>
      </c>
      <c r="U47" s="56">
        <f>'Example_Weekly Report'!U47</f>
        <v>261</v>
      </c>
      <c r="V47" s="56">
        <f>'Example_Weekly Report'!V47</f>
        <v>261</v>
      </c>
      <c r="W47" s="56">
        <f>'Example_Weekly Report'!W47</f>
        <v>261</v>
      </c>
      <c r="X47" s="56">
        <f>'Example_Weekly Report'!X47</f>
        <v>261</v>
      </c>
      <c r="Y47" s="56">
        <f>'Example_Weekly Report'!Y47</f>
        <v>261</v>
      </c>
      <c r="Z47" s="56">
        <f>'Example_Weekly Report'!Z47</f>
        <v>261</v>
      </c>
      <c r="AA47" s="56">
        <f>'Example_Weekly Report'!AA47</f>
        <v>261</v>
      </c>
      <c r="AB47" s="56">
        <f>'Example_Weekly Report'!AB47</f>
        <v>261</v>
      </c>
      <c r="AC47" s="56">
        <f>'Example_Weekly Report'!AC47</f>
        <v>261</v>
      </c>
      <c r="AD47" s="56">
        <f>'Example_Weekly Report'!AD47</f>
        <v>261</v>
      </c>
      <c r="AE47" s="56">
        <f>'Example_Weekly Report'!AE47</f>
        <v>261</v>
      </c>
      <c r="AF47" s="56">
        <f>'Example_Weekly Report'!AF47</f>
        <v>261</v>
      </c>
    </row>
  </sheetData>
  <phoneticPr fontId="10"/>
  <printOptions horizontalCentered="1"/>
  <pageMargins left="0.15748031496062992" right="0.15748031496062992" top="0.39370078740157483" bottom="0.39370078740157483" header="0.51181102362204722" footer="0.51181102362204722"/>
  <pageSetup paperSize="9" scale="72" orientation="landscape" r:id="rId1"/>
  <headerFooter alignWithMargins="0">
    <oddHeader>&amp;L&amp;"Calibri"&amp;13&amp;K000000 •• PROTECTED&amp;1#_x000D_</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3B35494036D34A843F7C0509013BB3" ma:contentTypeVersion="14" ma:contentTypeDescription="Create a new document." ma:contentTypeScope="" ma:versionID="77ad0997444a9a55824c602eed6184de">
  <xsd:schema xmlns:xsd="http://www.w3.org/2001/XMLSchema" xmlns:xs="http://www.w3.org/2001/XMLSchema" xmlns:p="http://schemas.microsoft.com/office/2006/metadata/properties" xmlns:ns2="9407063b-c441-4ba7-8e5d-cce57f1582fc" xmlns:ns3="a312a289-62a3-43b2-858a-787107f2f919" targetNamespace="http://schemas.microsoft.com/office/2006/metadata/properties" ma:root="true" ma:fieldsID="ba235ccc45346e46b2f9bd8ce3d82ec3" ns2:_="" ns3:_="">
    <xsd:import namespace="9407063b-c441-4ba7-8e5d-cce57f1582fc"/>
    <xsd:import namespace="a312a289-62a3-43b2-858a-787107f2f91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07063b-c441-4ba7-8e5d-cce57f1582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78d3f80-12eb-455e-b057-972b79fd407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312a289-62a3-43b2-858a-787107f2f9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777ed8c-92bb-4cc1-967f-47d144f85605}" ma:internalName="TaxCatchAll" ma:showField="CatchAllData" ma:web="a312a289-62a3-43b2-858a-787107f2f9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07063b-c441-4ba7-8e5d-cce57f1582fc">
      <Terms xmlns="http://schemas.microsoft.com/office/infopath/2007/PartnerControls"/>
    </lcf76f155ced4ddcb4097134ff3c332f>
    <TaxCatchAll xmlns="a312a289-62a3-43b2-858a-787107f2f91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EDABBE-FE54-40CD-A91E-CECBC882A3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07063b-c441-4ba7-8e5d-cce57f1582fc"/>
    <ds:schemaRef ds:uri="a312a289-62a3-43b2-858a-787107f2f9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52B9BD-5F1B-452C-88B3-ADF818A53F41}">
  <ds:schemaRefs>
    <ds:schemaRef ds:uri="9407063b-c441-4ba7-8e5d-cce57f1582fc"/>
    <ds:schemaRef ds:uri="http://schemas.microsoft.com/office/infopath/2007/PartnerControls"/>
    <ds:schemaRef ds:uri="http://purl.org/dc/elements/1.1/"/>
    <ds:schemaRef ds:uri="http://purl.org/dc/terms/"/>
    <ds:schemaRef ds:uri="http://schemas.microsoft.com/office/2006/metadata/properties"/>
    <ds:schemaRef ds:uri="a312a289-62a3-43b2-858a-787107f2f919"/>
    <ds:schemaRef ds:uri="http://schemas.microsoft.com/office/2006/documentManagement/types"/>
    <ds:schemaRef ds:uri="http://purl.org/dc/dcmitype/"/>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0D7BF3CB-C859-405D-8BCE-C76D60ED3B3B}">
  <ds:schemaRefs>
    <ds:schemaRef ds:uri="http://schemas.microsoft.com/sharepoint/v3/contenttype/forms"/>
  </ds:schemaRefs>
</ds:datastoreItem>
</file>

<file path=docMetadata/LabelInfo.xml><?xml version="1.0" encoding="utf-8"?>
<clbl:labelList xmlns:clbl="http://schemas.microsoft.com/office/2020/mipLabelMetadata">
  <clbl:label id="{a280e33f-51f9-4eb7-bf6f-a0cb413b4c8b}" enabled="1" method="Standard" siteId="{d9cd485e-39bd-4cc9-9539-8c97631fbb71}"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Weekly Report</vt:lpstr>
      <vt:lpstr>PB Curve</vt:lpstr>
      <vt:lpstr>Usage Guideline</vt:lpstr>
      <vt:lpstr>PB Curve Guideline</vt:lpstr>
      <vt:lpstr>Example_Weekly Report</vt:lpstr>
      <vt:lpstr>Example_PB Curve</vt:lpstr>
      <vt:lpstr>'Example_PB Curve'!Print_Area</vt:lpstr>
      <vt:lpstr>'Example_Weekly Report'!Print_Area</vt:lpstr>
      <vt:lpstr>'PB Curve'!Print_Area</vt:lpstr>
      <vt:lpstr>'PB Curve Guideline'!Print_Area</vt:lpstr>
      <vt:lpstr>'Usage Guideline'!Print_Area</vt:lpstr>
      <vt:lpstr>'Weekly Report'!Print_Area</vt:lpstr>
      <vt:lpstr>'PB Curve Guideline'!Print_Titles</vt:lpstr>
      <vt:lpstr>'Usage Guideline'!Print_Titles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SUZUKI_NB</dc:creator>
  <cp:keywords/>
  <dc:description/>
  <cp:lastModifiedBy>Kanphong Thavornkamolthip</cp:lastModifiedBy>
  <cp:revision/>
  <dcterms:created xsi:type="dcterms:W3CDTF">2004-10-19T03:17:39Z</dcterms:created>
  <dcterms:modified xsi:type="dcterms:W3CDTF">2025-12-22T07:41:38Z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0x010100D43B35494036D34A843F7C0509013BB3</vt:lpwstr>
  </property>
  <property fmtid="{D5CDD505-2E9C-101B-9397-08002B2CF9AE}" pid="3" name="MSIP_Label_a280e33f-51f9-4eb7-bf6f-a0cb413b4c8b_Enabled">
    <vt:lpwstr>true</vt:lpwstr>
  </property>
  <property fmtid="{D5CDD505-2E9C-101B-9397-08002B2CF9AE}" pid="4" name="MSIP_Label_a280e33f-51f9-4eb7-bf6f-a0cb413b4c8b_SetDate">
    <vt:lpwstr>2024-08-22T05:09:25Z</vt:lpwstr>
  </property>
  <property fmtid="{D5CDD505-2E9C-101B-9397-08002B2CF9AE}" pid="5" name="MSIP_Label_a280e33f-51f9-4eb7-bf6f-a0cb413b4c8b_Method">
    <vt:lpwstr>Standard</vt:lpwstr>
  </property>
  <property fmtid="{D5CDD505-2E9C-101B-9397-08002B2CF9AE}" pid="6" name="MSIP_Label_a280e33f-51f9-4eb7-bf6f-a0cb413b4c8b_Name">
    <vt:lpwstr>Protected</vt:lpwstr>
  </property>
  <property fmtid="{D5CDD505-2E9C-101B-9397-08002B2CF9AE}" pid="7" name="MSIP_Label_a280e33f-51f9-4eb7-bf6f-a0cb413b4c8b_SiteId">
    <vt:lpwstr>d9cd485e-39bd-4cc9-9539-8c97631fbb71</vt:lpwstr>
  </property>
  <property fmtid="{D5CDD505-2E9C-101B-9397-08002B2CF9AE}" pid="8" name="MSIP_Label_a280e33f-51f9-4eb7-bf6f-a0cb413b4c8b_ActionId">
    <vt:lpwstr>dc621d74-4c0e-4490-96c3-6b878b9d8f1e</vt:lpwstr>
  </property>
  <property fmtid="{D5CDD505-2E9C-101B-9397-08002B2CF9AE}" pid="9" name="MSIP_Label_a280e33f-51f9-4eb7-bf6f-a0cb413b4c8b_ContentBits">
    <vt:lpwstr>1</vt:lpwstr>
  </property>
  <property fmtid="{D5CDD505-2E9C-101B-9397-08002B2CF9AE}" pid="10" name="MediaServiceImageTags">
    <vt:lpwstr/>
  </property>
</Properties>
</file>